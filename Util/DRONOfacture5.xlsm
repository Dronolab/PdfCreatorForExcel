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DRONO\"/>
    </mc:Choice>
  </mc:AlternateContent>
  <bookViews>
    <workbookView xWindow="0" yWindow="60" windowWidth="20460" windowHeight="7590" tabRatio="777" activeTab="5"/>
  </bookViews>
  <sheets>
    <sheet name="Bilan" sheetId="2" r:id="rId1"/>
    <sheet name="revenus" sheetId="38" r:id="rId2"/>
    <sheet name="dépenses" sheetId="39" r:id="rId3"/>
    <sheet name="Membres" sheetId="4" r:id="rId4"/>
    <sheet name="Modele" sheetId="18" r:id="rId5"/>
    <sheet name="Drono1649" sheetId="54" r:id="rId6"/>
    <sheet name="Drono1650" sheetId="55" r:id="rId7"/>
    <sheet name="Drono1651" sheetId="56" r:id="rId8"/>
    <sheet name="Drono1652" sheetId="57" r:id="rId9"/>
    <sheet name="Drono1653" sheetId="58" r:id="rId10"/>
    <sheet name="Drono1655" sheetId="60" r:id="rId11"/>
    <sheet name="Drono1656" sheetId="61" r:id="rId12"/>
    <sheet name="Drono1657" sheetId="62" r:id="rId13"/>
    <sheet name="Drono1658" sheetId="63" r:id="rId14"/>
  </sheets>
  <externalReferences>
    <externalReference r:id="rId15"/>
  </externalReferences>
  <definedNames>
    <definedName name="_xlnm._FilterDatabase" localSheetId="2" hidden="1">dépenses!$B$60:$J$60</definedName>
    <definedName name="_xlnm._FilterDatabase" localSheetId="3" hidden="1">Membres!$B$5:$Q$34</definedName>
    <definedName name="Administration">dépenses!$N$1:$T$1</definedName>
    <definedName name="Air_frame">dépenses!$N$6:$AA$6</definedName>
    <definedName name="Auto_pilote_et_ground_station">dépenses!$N$4:$U$4</definedName>
    <definedName name="Autres">dépenses!$N$10</definedName>
    <definedName name="Compétition_1_CANADA">dépenses!$N$8:$U$8</definedName>
    <definedName name="Compétition_1_UAV_CANADA_ALMA_10_pers">dépenses!$N$8:$U$8</definedName>
    <definedName name="Compétition_2_SUAS_LEXINGTON_PARK_USA_10_pers">dépenses!$N$9:$U$9</definedName>
    <definedName name="Compétition_2_USA">dépenses!$N$9:$U$9</definedName>
    <definedName name="Compétition_drone_de_course">dépenses!$N$5</definedName>
    <definedName name="Frais_de_promotion">dépenses!$N$2:$R$2</definedName>
    <definedName name="groupe">dépenses!$M$1:$M$10</definedName>
    <definedName name="MontantTotalDrono24">#REF!</definedName>
    <definedName name="PropriétairedesfacturesDrono36">[1]Drono36!$E$2</definedName>
    <definedName name="PropriétairedesfacturesDrono49">[1]Drono49!$E$2</definedName>
    <definedName name="PropriétairedesfacturesDrono50">[1]Drono50!$E$2</definedName>
    <definedName name="PropriétairedesfacturesDrono51">[1]Drono51!$E$2</definedName>
    <definedName name="PropriétairedesfacturesDrono52">[1]Drono52!$E$2</definedName>
    <definedName name="PropriétairedesfacturesDrono53">[1]Drono53!$E$2</definedName>
    <definedName name="PropriétairedesfacturesDrono54">[1]Drono54!$E$2</definedName>
    <definedName name="PropriétairedesfacturesDrono55">[1]Drono55!$E$2</definedName>
    <definedName name="PropriétairedesfacturesDrono56">#REF!</definedName>
    <definedName name="PropriétairedesfacturesDrono57">[1]Drono57!$E$2</definedName>
    <definedName name="PropriétairedesfacturesDrono58">#REF!</definedName>
    <definedName name="PropriétairedesfacturesDrono59">#REF!</definedName>
    <definedName name="Réseau_et_télécommunication">dépenses!$N$3:$R$3</definedName>
    <definedName name="Tests_de_vol">dépenses!$N$7:$U$7</definedName>
    <definedName name="Tests_et_fds">dépenses!$N$7:$U$7</definedName>
    <definedName name="_xlnm.Print_Area" localSheetId="2">dépenses!$A$7:$I$126</definedName>
    <definedName name="_xlnm.Print_Area" localSheetId="1">revenus!$A$1:$J$41</definedName>
  </definedNames>
  <calcPr calcId="162913"/>
</workbook>
</file>

<file path=xl/calcChain.xml><?xml version="1.0" encoding="utf-8"?>
<calcChain xmlns="http://schemas.openxmlformats.org/spreadsheetml/2006/main">
  <c r="K24" i="60" l="1"/>
  <c r="M8" i="60"/>
  <c r="M7" i="60"/>
  <c r="M7" i="63"/>
  <c r="M7" i="62"/>
  <c r="K24" i="61"/>
  <c r="M7" i="61"/>
  <c r="M7" i="58"/>
  <c r="K25" i="57"/>
  <c r="K24" i="57"/>
  <c r="M8" i="57"/>
  <c r="M7" i="57"/>
  <c r="M8" i="56"/>
  <c r="M7" i="56"/>
  <c r="M8" i="55"/>
  <c r="M7" i="55"/>
  <c r="K31" i="63"/>
  <c r="K18" i="63"/>
  <c r="K9" i="63" s="1"/>
  <c r="K10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23" i="63"/>
  <c r="D22" i="63"/>
  <c r="D21" i="63"/>
  <c r="D20" i="63"/>
  <c r="D19" i="63"/>
  <c r="D18" i="63"/>
  <c r="D17" i="63"/>
  <c r="D16" i="63"/>
  <c r="D15" i="63"/>
  <c r="D14" i="63"/>
  <c r="D13" i="63"/>
  <c r="D12" i="63"/>
  <c r="D11" i="63"/>
  <c r="D10" i="63"/>
  <c r="D9" i="63"/>
  <c r="D8" i="63"/>
  <c r="D7" i="63"/>
  <c r="I2" i="63"/>
  <c r="I3" i="63" s="1"/>
  <c r="I4" i="63" s="1"/>
  <c r="I5" i="63" s="1"/>
  <c r="I6" i="63" s="1"/>
  <c r="I7" i="63" s="1"/>
  <c r="I8" i="63" s="1"/>
  <c r="I9" i="63" s="1"/>
  <c r="I10" i="63" s="1"/>
  <c r="I11" i="63" s="1"/>
  <c r="I12" i="63" s="1"/>
  <c r="I13" i="63" s="1"/>
  <c r="I14" i="63" s="1"/>
  <c r="I15" i="63" s="1"/>
  <c r="I16" i="63" s="1"/>
  <c r="I17" i="63" s="1"/>
  <c r="I18" i="63" s="1"/>
  <c r="I19" i="63" s="1"/>
  <c r="I20" i="63" s="1"/>
  <c r="I21" i="63" s="1"/>
  <c r="I22" i="63" s="1"/>
  <c r="I23" i="63" s="1"/>
  <c r="I24" i="63" s="1"/>
  <c r="I25" i="63" s="1"/>
  <c r="I26" i="63" s="1"/>
  <c r="I27" i="63" s="1"/>
  <c r="I28" i="63" s="1"/>
  <c r="I29" i="63" s="1"/>
  <c r="I30" i="63" s="1"/>
  <c r="I31" i="63" s="1"/>
  <c r="K31" i="62"/>
  <c r="K18" i="62"/>
  <c r="K9" i="62" s="1"/>
  <c r="K10" i="62"/>
  <c r="D56" i="62"/>
  <c r="D55" i="62"/>
  <c r="D54" i="62"/>
  <c r="D53" i="62"/>
  <c r="D52" i="62"/>
  <c r="D51" i="62"/>
  <c r="D50" i="62"/>
  <c r="D49" i="62"/>
  <c r="D48" i="62"/>
  <c r="D47" i="62"/>
  <c r="D46" i="62"/>
  <c r="D45" i="62"/>
  <c r="D44" i="62"/>
  <c r="D43" i="62"/>
  <c r="D42" i="62"/>
  <c r="D41" i="62"/>
  <c r="D40" i="62"/>
  <c r="D39" i="62"/>
  <c r="D38" i="62"/>
  <c r="D37" i="62"/>
  <c r="D36" i="62"/>
  <c r="D35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I2" i="62"/>
  <c r="I3" i="62" s="1"/>
  <c r="I4" i="62" s="1"/>
  <c r="I5" i="62" s="1"/>
  <c r="I6" i="62" s="1"/>
  <c r="I7" i="62" s="1"/>
  <c r="I8" i="62" s="1"/>
  <c r="I9" i="62" s="1"/>
  <c r="I10" i="62" s="1"/>
  <c r="I11" i="62" s="1"/>
  <c r="I12" i="62" s="1"/>
  <c r="I13" i="62" s="1"/>
  <c r="I14" i="62" s="1"/>
  <c r="I15" i="62" s="1"/>
  <c r="I16" i="62" s="1"/>
  <c r="I17" i="62" s="1"/>
  <c r="I18" i="62" s="1"/>
  <c r="I19" i="62" s="1"/>
  <c r="I20" i="62" s="1"/>
  <c r="I21" i="62" s="1"/>
  <c r="I22" i="62" s="1"/>
  <c r="I23" i="62" s="1"/>
  <c r="I24" i="62" s="1"/>
  <c r="I25" i="62" s="1"/>
  <c r="I26" i="62" s="1"/>
  <c r="I27" i="62" s="1"/>
  <c r="I28" i="62" s="1"/>
  <c r="I29" i="62" s="1"/>
  <c r="I30" i="62" s="1"/>
  <c r="I31" i="62" s="1"/>
  <c r="K31" i="61"/>
  <c r="K18" i="61"/>
  <c r="K9" i="61" s="1"/>
  <c r="K10" i="61"/>
  <c r="D56" i="61"/>
  <c r="D55" i="61"/>
  <c r="D54" i="61"/>
  <c r="D53" i="61"/>
  <c r="D52" i="61"/>
  <c r="D51" i="61"/>
  <c r="D50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D28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I2" i="61"/>
  <c r="I3" i="61" s="1"/>
  <c r="I4" i="61" s="1"/>
  <c r="I5" i="61" s="1"/>
  <c r="I6" i="61" s="1"/>
  <c r="I7" i="61" s="1"/>
  <c r="I8" i="61" s="1"/>
  <c r="I9" i="61" s="1"/>
  <c r="I10" i="61" s="1"/>
  <c r="I11" i="61" s="1"/>
  <c r="I12" i="61" s="1"/>
  <c r="I13" i="61" s="1"/>
  <c r="I14" i="61" s="1"/>
  <c r="I15" i="61" s="1"/>
  <c r="I16" i="61" s="1"/>
  <c r="I17" i="61" s="1"/>
  <c r="I18" i="61" s="1"/>
  <c r="I19" i="61" s="1"/>
  <c r="I20" i="61" s="1"/>
  <c r="I21" i="61" s="1"/>
  <c r="I22" i="61" s="1"/>
  <c r="I23" i="61" s="1"/>
  <c r="I24" i="61" s="1"/>
  <c r="I25" i="61" s="1"/>
  <c r="I26" i="61" s="1"/>
  <c r="I27" i="61" s="1"/>
  <c r="I28" i="61" s="1"/>
  <c r="I29" i="61" s="1"/>
  <c r="I30" i="61" s="1"/>
  <c r="I31" i="61" s="1"/>
  <c r="K31" i="60"/>
  <c r="K18" i="60"/>
  <c r="K9" i="60" s="1"/>
  <c r="K10" i="60"/>
  <c r="D56" i="60"/>
  <c r="D55" i="60"/>
  <c r="D54" i="60"/>
  <c r="D53" i="60"/>
  <c r="D52" i="60"/>
  <c r="D51" i="60"/>
  <c r="D50" i="60"/>
  <c r="D49" i="60"/>
  <c r="D48" i="60"/>
  <c r="D47" i="60"/>
  <c r="D46" i="60"/>
  <c r="D45" i="60"/>
  <c r="D44" i="60"/>
  <c r="D43" i="60"/>
  <c r="D42" i="60"/>
  <c r="D41" i="60"/>
  <c r="D40" i="60"/>
  <c r="D3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I2" i="60"/>
  <c r="I3" i="60" s="1"/>
  <c r="I4" i="60" s="1"/>
  <c r="I5" i="60" s="1"/>
  <c r="I6" i="60" s="1"/>
  <c r="I7" i="60" s="1"/>
  <c r="I8" i="60" s="1"/>
  <c r="I9" i="60" s="1"/>
  <c r="I10" i="60" s="1"/>
  <c r="I11" i="60" s="1"/>
  <c r="I12" i="60" s="1"/>
  <c r="I13" i="60" s="1"/>
  <c r="I14" i="60" s="1"/>
  <c r="I15" i="60" s="1"/>
  <c r="I16" i="60" s="1"/>
  <c r="I17" i="60" s="1"/>
  <c r="I18" i="60" s="1"/>
  <c r="I19" i="60" s="1"/>
  <c r="I20" i="60" s="1"/>
  <c r="I21" i="60" s="1"/>
  <c r="I22" i="60" s="1"/>
  <c r="I23" i="60" s="1"/>
  <c r="I24" i="60" s="1"/>
  <c r="I25" i="60" s="1"/>
  <c r="I26" i="60" s="1"/>
  <c r="I27" i="60" s="1"/>
  <c r="I28" i="60" s="1"/>
  <c r="I29" i="60" s="1"/>
  <c r="I30" i="60" s="1"/>
  <c r="I31" i="60" s="1"/>
  <c r="K31" i="58"/>
  <c r="K18" i="58"/>
  <c r="K9" i="58" s="1"/>
  <c r="K10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I2" i="58"/>
  <c r="I3" i="58" s="1"/>
  <c r="I4" i="58" s="1"/>
  <c r="I5" i="58" s="1"/>
  <c r="I6" i="58" s="1"/>
  <c r="I7" i="58" s="1"/>
  <c r="I8" i="58" s="1"/>
  <c r="I9" i="58" s="1"/>
  <c r="I10" i="58" s="1"/>
  <c r="I11" i="58" s="1"/>
  <c r="I12" i="58" s="1"/>
  <c r="I13" i="58" s="1"/>
  <c r="I14" i="58" s="1"/>
  <c r="I15" i="58" s="1"/>
  <c r="I16" i="58" s="1"/>
  <c r="I17" i="58" s="1"/>
  <c r="I18" i="58" s="1"/>
  <c r="I19" i="58" s="1"/>
  <c r="I20" i="58" s="1"/>
  <c r="I21" i="58" s="1"/>
  <c r="I22" i="58" s="1"/>
  <c r="I23" i="58" s="1"/>
  <c r="I24" i="58" s="1"/>
  <c r="I25" i="58" s="1"/>
  <c r="I26" i="58" s="1"/>
  <c r="I27" i="58" s="1"/>
  <c r="I28" i="58" s="1"/>
  <c r="I29" i="58" s="1"/>
  <c r="I30" i="58" s="1"/>
  <c r="I31" i="58" s="1"/>
  <c r="K31" i="57"/>
  <c r="K18" i="57"/>
  <c r="K9" i="57" s="1"/>
  <c r="K10" i="57"/>
  <c r="D56" i="57"/>
  <c r="D55" i="57"/>
  <c r="D54" i="57"/>
  <c r="D53" i="57"/>
  <c r="D52" i="57"/>
  <c r="D51" i="57"/>
  <c r="D50" i="57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I2" i="57"/>
  <c r="I3" i="57" s="1"/>
  <c r="I4" i="57" s="1"/>
  <c r="I5" i="57" s="1"/>
  <c r="I6" i="57" s="1"/>
  <c r="I7" i="57" s="1"/>
  <c r="I8" i="57" s="1"/>
  <c r="I9" i="57" s="1"/>
  <c r="I10" i="57" s="1"/>
  <c r="I11" i="57" s="1"/>
  <c r="I12" i="57" s="1"/>
  <c r="I13" i="57" s="1"/>
  <c r="I14" i="57" s="1"/>
  <c r="I15" i="57" s="1"/>
  <c r="I16" i="57" s="1"/>
  <c r="I17" i="57" s="1"/>
  <c r="I18" i="57" s="1"/>
  <c r="I19" i="57" s="1"/>
  <c r="I20" i="57" s="1"/>
  <c r="I21" i="57" s="1"/>
  <c r="I22" i="57" s="1"/>
  <c r="I23" i="57" s="1"/>
  <c r="I24" i="57" s="1"/>
  <c r="I25" i="57" s="1"/>
  <c r="I26" i="57" s="1"/>
  <c r="I27" i="57" s="1"/>
  <c r="I28" i="57" s="1"/>
  <c r="I29" i="57" s="1"/>
  <c r="I30" i="57" s="1"/>
  <c r="I31" i="57" s="1"/>
  <c r="K31" i="56"/>
  <c r="K18" i="56"/>
  <c r="K9" i="56" s="1"/>
  <c r="K10" i="56"/>
  <c r="D56" i="56"/>
  <c r="D55" i="56"/>
  <c r="D54" i="56"/>
  <c r="D53" i="56"/>
  <c r="D52" i="56"/>
  <c r="D51" i="56"/>
  <c r="D50" i="56"/>
  <c r="D49" i="56"/>
  <c r="D48" i="56"/>
  <c r="D47" i="56"/>
  <c r="D46" i="56"/>
  <c r="D45" i="56"/>
  <c r="D44" i="56"/>
  <c r="D43" i="56"/>
  <c r="D42" i="56"/>
  <c r="D41" i="56"/>
  <c r="D40" i="56"/>
  <c r="D39" i="56"/>
  <c r="D38" i="56"/>
  <c r="D37" i="56"/>
  <c r="D36" i="56"/>
  <c r="D35" i="56"/>
  <c r="D34" i="56"/>
  <c r="D33" i="56"/>
  <c r="D32" i="56"/>
  <c r="D31" i="56"/>
  <c r="D30" i="56"/>
  <c r="D29" i="56"/>
  <c r="D28" i="56"/>
  <c r="D27" i="56"/>
  <c r="D26" i="56"/>
  <c r="D25" i="56"/>
  <c r="D24" i="56"/>
  <c r="D23" i="56"/>
  <c r="D22" i="56"/>
  <c r="D21" i="56"/>
  <c r="D20" i="56"/>
  <c r="D19" i="56"/>
  <c r="D18" i="56"/>
  <c r="D17" i="56"/>
  <c r="D16" i="56"/>
  <c r="D15" i="56"/>
  <c r="D14" i="56"/>
  <c r="D13" i="56"/>
  <c r="D12" i="56"/>
  <c r="D11" i="56"/>
  <c r="D10" i="56"/>
  <c r="D9" i="56"/>
  <c r="D8" i="56"/>
  <c r="D7" i="56"/>
  <c r="I2" i="56"/>
  <c r="I3" i="56" s="1"/>
  <c r="I4" i="56" s="1"/>
  <c r="I5" i="56" s="1"/>
  <c r="I6" i="56" s="1"/>
  <c r="I7" i="56" s="1"/>
  <c r="I8" i="56" s="1"/>
  <c r="I9" i="56" s="1"/>
  <c r="I10" i="56" s="1"/>
  <c r="I11" i="56" s="1"/>
  <c r="I12" i="56" s="1"/>
  <c r="I13" i="56" s="1"/>
  <c r="I14" i="56" s="1"/>
  <c r="I15" i="56" s="1"/>
  <c r="I16" i="56" s="1"/>
  <c r="I17" i="56" s="1"/>
  <c r="I18" i="56" s="1"/>
  <c r="I19" i="56" s="1"/>
  <c r="I20" i="56" s="1"/>
  <c r="I21" i="56" s="1"/>
  <c r="I22" i="56" s="1"/>
  <c r="I23" i="56" s="1"/>
  <c r="I24" i="56" s="1"/>
  <c r="I25" i="56" s="1"/>
  <c r="I26" i="56" s="1"/>
  <c r="I27" i="56" s="1"/>
  <c r="I28" i="56" s="1"/>
  <c r="I29" i="56" s="1"/>
  <c r="I30" i="56" s="1"/>
  <c r="I31" i="56" s="1"/>
  <c r="D18" i="55"/>
  <c r="K31" i="55"/>
  <c r="K18" i="55"/>
  <c r="K9" i="55" s="1"/>
  <c r="K10" i="55"/>
  <c r="D56" i="55"/>
  <c r="D55" i="55"/>
  <c r="D54" i="55"/>
  <c r="D53" i="55"/>
  <c r="D52" i="55"/>
  <c r="D51" i="55"/>
  <c r="D50" i="55"/>
  <c r="D49" i="55"/>
  <c r="D48" i="55"/>
  <c r="D47" i="55"/>
  <c r="D46" i="55"/>
  <c r="D45" i="55"/>
  <c r="D44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D30" i="55"/>
  <c r="D29" i="55"/>
  <c r="D28" i="55"/>
  <c r="D27" i="55"/>
  <c r="D26" i="55"/>
  <c r="D25" i="55"/>
  <c r="D24" i="55"/>
  <c r="D23" i="55"/>
  <c r="D22" i="55"/>
  <c r="D21" i="55"/>
  <c r="D20" i="55"/>
  <c r="D19" i="55"/>
  <c r="D17" i="55"/>
  <c r="D16" i="55"/>
  <c r="D15" i="55"/>
  <c r="D14" i="55"/>
  <c r="D13" i="55"/>
  <c r="D12" i="55"/>
  <c r="D11" i="55"/>
  <c r="D10" i="55"/>
  <c r="D9" i="55"/>
  <c r="D8" i="55"/>
  <c r="D7" i="55"/>
  <c r="I2" i="55"/>
  <c r="I3" i="55" s="1"/>
  <c r="I4" i="55" s="1"/>
  <c r="I5" i="55" s="1"/>
  <c r="I6" i="55" s="1"/>
  <c r="I7" i="55" s="1"/>
  <c r="I8" i="55" s="1"/>
  <c r="I9" i="55" s="1"/>
  <c r="I10" i="55" s="1"/>
  <c r="I11" i="55" s="1"/>
  <c r="I12" i="55" s="1"/>
  <c r="I13" i="55" s="1"/>
  <c r="I14" i="55" s="1"/>
  <c r="I15" i="55" s="1"/>
  <c r="I16" i="55" s="1"/>
  <c r="I17" i="55" s="1"/>
  <c r="I18" i="55" s="1"/>
  <c r="I19" i="55" s="1"/>
  <c r="I20" i="55" s="1"/>
  <c r="I21" i="55" s="1"/>
  <c r="I22" i="55" s="1"/>
  <c r="I23" i="55" s="1"/>
  <c r="I24" i="55" s="1"/>
  <c r="I25" i="55" s="1"/>
  <c r="I26" i="55" s="1"/>
  <c r="I27" i="55" s="1"/>
  <c r="I28" i="55" s="1"/>
  <c r="I29" i="55" s="1"/>
  <c r="I30" i="55" s="1"/>
  <c r="I31" i="55" s="1"/>
  <c r="M7" i="54"/>
  <c r="K31" i="54"/>
  <c r="K18" i="54"/>
  <c r="K9" i="54" s="1"/>
  <c r="K10" i="54"/>
  <c r="D56" i="54"/>
  <c r="D55" i="54"/>
  <c r="D54" i="54"/>
  <c r="D53" i="54"/>
  <c r="D52" i="54"/>
  <c r="D51" i="54"/>
  <c r="D50" i="54"/>
  <c r="D49" i="54"/>
  <c r="D48" i="54"/>
  <c r="D47" i="54"/>
  <c r="D46" i="54"/>
  <c r="D45" i="54"/>
  <c r="D44" i="54"/>
  <c r="D43" i="54"/>
  <c r="D42" i="54"/>
  <c r="D41" i="54"/>
  <c r="D40" i="54"/>
  <c r="D39" i="54"/>
  <c r="D38" i="54"/>
  <c r="D37" i="54"/>
  <c r="D36" i="54"/>
  <c r="D35" i="54"/>
  <c r="D34" i="54"/>
  <c r="D33" i="54"/>
  <c r="D32" i="54"/>
  <c r="D31" i="54"/>
  <c r="D30" i="54"/>
  <c r="D29" i="54"/>
  <c r="D28" i="54"/>
  <c r="D27" i="54"/>
  <c r="D26" i="54"/>
  <c r="D25" i="54"/>
  <c r="D24" i="54"/>
  <c r="D23" i="54"/>
  <c r="D22" i="54"/>
  <c r="D21" i="54"/>
  <c r="D20" i="54"/>
  <c r="D19" i="54"/>
  <c r="D18" i="54"/>
  <c r="D17" i="54"/>
  <c r="D16" i="54"/>
  <c r="D15" i="54"/>
  <c r="D14" i="54"/>
  <c r="D13" i="54"/>
  <c r="D12" i="54"/>
  <c r="D11" i="54"/>
  <c r="D10" i="54"/>
  <c r="D9" i="54"/>
  <c r="D8" i="54"/>
  <c r="D7" i="54"/>
  <c r="I2" i="54"/>
  <c r="I3" i="54" s="1"/>
  <c r="I4" i="54" s="1"/>
  <c r="I5" i="54" s="1"/>
  <c r="I6" i="54" s="1"/>
  <c r="I7" i="54" s="1"/>
  <c r="I8" i="54" s="1"/>
  <c r="I9" i="54" s="1"/>
  <c r="I10" i="54" s="1"/>
  <c r="I11" i="54" s="1"/>
  <c r="I12" i="54" s="1"/>
  <c r="I13" i="54" s="1"/>
  <c r="I14" i="54" s="1"/>
  <c r="I15" i="54" s="1"/>
  <c r="I16" i="54" s="1"/>
  <c r="I17" i="54" s="1"/>
  <c r="I18" i="54" s="1"/>
  <c r="I19" i="54" s="1"/>
  <c r="I20" i="54" s="1"/>
  <c r="I21" i="54" s="1"/>
  <c r="I22" i="54" s="1"/>
  <c r="I23" i="54" s="1"/>
  <c r="I24" i="54" s="1"/>
  <c r="I25" i="54" s="1"/>
  <c r="I26" i="54" s="1"/>
  <c r="I27" i="54" s="1"/>
  <c r="I28" i="54" s="1"/>
  <c r="I29" i="54" s="1"/>
  <c r="I30" i="54" s="1"/>
  <c r="I31" i="54" s="1"/>
  <c r="K25" i="58" l="1"/>
  <c r="M8" i="58"/>
  <c r="M9" i="58" s="1"/>
  <c r="M10" i="58" s="1"/>
  <c r="M11" i="58" s="1"/>
  <c r="K24" i="58"/>
  <c r="K26" i="63"/>
  <c r="K24" i="54"/>
  <c r="M9" i="55"/>
  <c r="K24" i="56"/>
  <c r="M8" i="63"/>
  <c r="K25" i="63" s="1"/>
  <c r="K20" i="63" s="1"/>
  <c r="K27" i="63"/>
  <c r="M8" i="54"/>
  <c r="K24" i="55"/>
  <c r="K25" i="56"/>
  <c r="M9" i="57"/>
  <c r="M10" i="57" s="1"/>
  <c r="M11" i="57" s="1"/>
  <c r="M12" i="57" s="1"/>
  <c r="M8" i="61"/>
  <c r="M8" i="62"/>
  <c r="K25" i="62" s="1"/>
  <c r="K27" i="62"/>
  <c r="K24" i="63"/>
  <c r="K28" i="63"/>
  <c r="K25" i="60"/>
  <c r="K24" i="62"/>
  <c r="K19" i="60"/>
  <c r="K20" i="60"/>
  <c r="K23" i="63"/>
  <c r="M9" i="60"/>
  <c r="K19" i="63"/>
  <c r="K21" i="63"/>
  <c r="K22" i="63"/>
  <c r="K20" i="62"/>
  <c r="K19" i="62"/>
  <c r="K22" i="62"/>
  <c r="K19" i="61"/>
  <c r="K20" i="58"/>
  <c r="K19" i="56"/>
  <c r="K19" i="57"/>
  <c r="K19" i="58"/>
  <c r="K20" i="57"/>
  <c r="K20" i="56"/>
  <c r="M9" i="56"/>
  <c r="K27" i="56" s="1"/>
  <c r="K22" i="56" s="1"/>
  <c r="K19" i="55"/>
  <c r="K19" i="54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H96" i="39"/>
  <c r="H86" i="39"/>
  <c r="G75" i="39"/>
  <c r="H45" i="39"/>
  <c r="H32" i="39"/>
  <c r="H25" i="39"/>
  <c r="H18" i="39"/>
  <c r="K25" i="55" l="1"/>
  <c r="K20" i="55" s="1"/>
  <c r="K26" i="60"/>
  <c r="K21" i="60" s="1"/>
  <c r="K27" i="61"/>
  <c r="K22" i="61" s="1"/>
  <c r="K26" i="62"/>
  <c r="K21" i="62" s="1"/>
  <c r="K28" i="58"/>
  <c r="K23" i="58" s="1"/>
  <c r="K27" i="58"/>
  <c r="K22" i="58" s="1"/>
  <c r="M9" i="61"/>
  <c r="K26" i="61" s="1"/>
  <c r="K21" i="61" s="1"/>
  <c r="K28" i="61"/>
  <c r="K23" i="61" s="1"/>
  <c r="M9" i="54"/>
  <c r="M10" i="54" s="1"/>
  <c r="M11" i="54" s="1"/>
  <c r="M12" i="54" s="1"/>
  <c r="M13" i="54" s="1"/>
  <c r="M14" i="54" s="1"/>
  <c r="M15" i="54" s="1"/>
  <c r="K27" i="54"/>
  <c r="K22" i="54" s="1"/>
  <c r="K25" i="61"/>
  <c r="K20" i="61" s="1"/>
  <c r="K27" i="60"/>
  <c r="K22" i="60" s="1"/>
  <c r="K28" i="57"/>
  <c r="K23" i="57" s="1"/>
  <c r="K26" i="57"/>
  <c r="K21" i="57" s="1"/>
  <c r="M10" i="55"/>
  <c r="M11" i="55" s="1"/>
  <c r="M12" i="55" s="1"/>
  <c r="M13" i="55" s="1"/>
  <c r="M14" i="55" s="1"/>
  <c r="M15" i="55" s="1"/>
  <c r="M16" i="55" s="1"/>
  <c r="M17" i="55" s="1"/>
  <c r="M18" i="55" s="1"/>
  <c r="K27" i="57"/>
  <c r="K22" i="57" s="1"/>
  <c r="K25" i="54"/>
  <c r="K20" i="54" s="1"/>
  <c r="K26" i="56"/>
  <c r="K21" i="56" s="1"/>
  <c r="K28" i="56"/>
  <c r="K23" i="56" s="1"/>
  <c r="K28" i="62"/>
  <c r="K23" i="62" s="1"/>
  <c r="K26" i="58"/>
  <c r="K21" i="58" s="1"/>
  <c r="M10" i="60"/>
  <c r="M11" i="60" s="1"/>
  <c r="M12" i="60" s="1"/>
  <c r="M13" i="60" s="1"/>
  <c r="M14" i="60" s="1"/>
  <c r="M15" i="60" s="1"/>
  <c r="M16" i="60" s="1"/>
  <c r="M17" i="60" s="1"/>
  <c r="M18" i="60" s="1"/>
  <c r="H42" i="39"/>
  <c r="H76" i="39"/>
  <c r="H106" i="39"/>
  <c r="K28" i="18"/>
  <c r="K27" i="18"/>
  <c r="K26" i="18"/>
  <c r="K25" i="18"/>
  <c r="K24" i="18"/>
  <c r="K27" i="55" l="1"/>
  <c r="K22" i="55" s="1"/>
  <c r="K28" i="54"/>
  <c r="K23" i="54" s="1"/>
  <c r="K28" i="55"/>
  <c r="K23" i="55" s="1"/>
  <c r="K26" i="55"/>
  <c r="K21" i="55" s="1"/>
  <c r="K28" i="60"/>
  <c r="K23" i="60" s="1"/>
  <c r="K26" i="54"/>
  <c r="K21" i="54" s="1"/>
  <c r="H110" i="39"/>
  <c r="I104" i="39"/>
  <c r="I103" i="39"/>
  <c r="I101" i="39"/>
  <c r="I94" i="39"/>
  <c r="I91" i="39"/>
  <c r="I72" i="39"/>
  <c r="I71" i="39"/>
  <c r="I65" i="39"/>
  <c r="I41" i="39"/>
  <c r="I39" i="39"/>
  <c r="I29" i="39"/>
  <c r="I28" i="39"/>
  <c r="I24" i="39"/>
  <c r="I20" i="39"/>
  <c r="F106" i="39"/>
  <c r="F96" i="39"/>
  <c r="F86" i="39"/>
  <c r="I75" i="39"/>
  <c r="F45" i="39"/>
  <c r="F42" i="39"/>
  <c r="F25" i="39"/>
  <c r="F18" i="39"/>
  <c r="H42" i="38"/>
  <c r="F42" i="38"/>
  <c r="J41" i="38"/>
  <c r="J39" i="38"/>
  <c r="F26" i="38"/>
  <c r="G25" i="38"/>
  <c r="H26" i="38" s="1"/>
  <c r="J23" i="38"/>
  <c r="H20" i="38"/>
  <c r="F20" i="38"/>
  <c r="L13" i="38" s="1"/>
  <c r="H11" i="39" l="1"/>
  <c r="H15" i="39"/>
  <c r="H21" i="39"/>
  <c r="H102" i="39"/>
  <c r="H98" i="39"/>
  <c r="H92" i="39"/>
  <c r="H88" i="39"/>
  <c r="H82" i="39"/>
  <c r="H78" i="39"/>
  <c r="H72" i="39"/>
  <c r="H68" i="39"/>
  <c r="H64" i="39"/>
  <c r="H41" i="39"/>
  <c r="H37" i="39"/>
  <c r="H31" i="39"/>
  <c r="H27" i="39"/>
  <c r="H12" i="39"/>
  <c r="H16" i="39"/>
  <c r="H22" i="39"/>
  <c r="H105" i="39"/>
  <c r="H101" i="39"/>
  <c r="H95" i="39"/>
  <c r="H91" i="39"/>
  <c r="H85" i="39"/>
  <c r="H81" i="39"/>
  <c r="H71" i="39"/>
  <c r="H67" i="39"/>
  <c r="H63" i="39"/>
  <c r="H40" i="39"/>
  <c r="H36" i="39"/>
  <c r="H30" i="39"/>
  <c r="H13" i="39"/>
  <c r="H17" i="39"/>
  <c r="H23" i="39"/>
  <c r="H104" i="39"/>
  <c r="H100" i="39"/>
  <c r="H94" i="39"/>
  <c r="H90" i="39"/>
  <c r="H84" i="39"/>
  <c r="H80" i="39"/>
  <c r="H74" i="39"/>
  <c r="H70" i="39"/>
  <c r="H66" i="39"/>
  <c r="H62" i="39"/>
  <c r="H39" i="39"/>
  <c r="H35" i="39"/>
  <c r="H29" i="39"/>
  <c r="H14" i="39"/>
  <c r="H20" i="39"/>
  <c r="H24" i="39"/>
  <c r="H103" i="39"/>
  <c r="H99" i="39"/>
  <c r="H93" i="39"/>
  <c r="H89" i="39"/>
  <c r="H83" i="39"/>
  <c r="H79" i="39"/>
  <c r="H73" i="39"/>
  <c r="H69" i="39"/>
  <c r="H65" i="39"/>
  <c r="H44" i="39"/>
  <c r="H38" i="39"/>
  <c r="H34" i="39"/>
  <c r="H28" i="39"/>
  <c r="H75" i="39"/>
  <c r="H44" i="38"/>
  <c r="H15" i="38" s="1"/>
  <c r="F44" i="38"/>
  <c r="F37" i="38" s="1"/>
  <c r="J25" i="39"/>
  <c r="J76" i="39"/>
  <c r="F76" i="39"/>
  <c r="J106" i="39"/>
  <c r="F34" i="38"/>
  <c r="F31" i="38"/>
  <c r="F12" i="38"/>
  <c r="F19" i="38"/>
  <c r="F36" i="38"/>
  <c r="F18" i="38"/>
  <c r="F29" i="38"/>
  <c r="F7" i="38"/>
  <c r="F13" i="38"/>
  <c r="F11" i="38"/>
  <c r="F35" i="38"/>
  <c r="F32" i="38"/>
  <c r="F17" i="38"/>
  <c r="F24" i="38"/>
  <c r="F16" i="38"/>
  <c r="F23" i="38"/>
  <c r="J26" i="38"/>
  <c r="J33" i="38"/>
  <c r="H11" i="38"/>
  <c r="H10" i="38"/>
  <c r="H35" i="38"/>
  <c r="J31" i="38"/>
  <c r="J28" i="38"/>
  <c r="J34" i="38"/>
  <c r="H9" i="38"/>
  <c r="H12" i="38"/>
  <c r="J86" i="39"/>
  <c r="J45" i="39"/>
  <c r="F32" i="39"/>
  <c r="J32" i="39"/>
  <c r="J42" i="39"/>
  <c r="J18" i="39"/>
  <c r="J96" i="39"/>
  <c r="H16" i="38" l="1"/>
  <c r="J5" i="38"/>
  <c r="H17" i="38"/>
  <c r="H19" i="38"/>
  <c r="H14" i="38"/>
  <c r="H34" i="38"/>
  <c r="J20" i="38"/>
  <c r="J9" i="38"/>
  <c r="H5" i="38"/>
  <c r="H22" i="38"/>
  <c r="H36" i="38"/>
  <c r="H25" i="38"/>
  <c r="H23" i="38"/>
  <c r="H8" i="38"/>
  <c r="F9" i="38"/>
  <c r="F22" i="38"/>
  <c r="F28" i="38"/>
  <c r="F14" i="38"/>
  <c r="F8" i="38"/>
  <c r="H46" i="38"/>
  <c r="H31" i="38"/>
  <c r="F5" i="38"/>
  <c r="J7" i="38"/>
  <c r="J22" i="38"/>
  <c r="J36" i="38"/>
  <c r="H33" i="38"/>
  <c r="H37" i="38"/>
  <c r="H28" i="38"/>
  <c r="H13" i="38"/>
  <c r="H24" i="38"/>
  <c r="H32" i="38"/>
  <c r="H7" i="38"/>
  <c r="H29" i="38"/>
  <c r="H30" i="38"/>
  <c r="F108" i="39"/>
  <c r="F110" i="39" s="1"/>
  <c r="F25" i="38"/>
  <c r="F30" i="38"/>
  <c r="F10" i="38"/>
  <c r="F33" i="38"/>
  <c r="F15" i="38"/>
  <c r="J110" i="39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7" i="18"/>
  <c r="F16" i="39" l="1"/>
  <c r="F40" i="39"/>
  <c r="K23" i="18"/>
  <c r="K19" i="18"/>
  <c r="K22" i="18"/>
  <c r="K21" i="18"/>
  <c r="K20" i="18"/>
  <c r="H47" i="38"/>
  <c r="J14" i="39"/>
  <c r="J35" i="39"/>
  <c r="J74" i="39"/>
  <c r="J70" i="39"/>
  <c r="J66" i="39"/>
  <c r="J62" i="39"/>
  <c r="J82" i="39"/>
  <c r="J78" i="39"/>
  <c r="J92" i="39"/>
  <c r="J88" i="39"/>
  <c r="J101" i="39"/>
  <c r="J105" i="39"/>
  <c r="J12" i="39"/>
  <c r="J22" i="39"/>
  <c r="J30" i="39"/>
  <c r="J37" i="39"/>
  <c r="J64" i="39"/>
  <c r="J80" i="39"/>
  <c r="J94" i="39"/>
  <c r="J17" i="39"/>
  <c r="J13" i="39"/>
  <c r="J23" i="39"/>
  <c r="J31" i="39"/>
  <c r="J27" i="39"/>
  <c r="J38" i="39"/>
  <c r="J34" i="39"/>
  <c r="J73" i="39"/>
  <c r="J69" i="39"/>
  <c r="J85" i="39"/>
  <c r="J81" i="39"/>
  <c r="J95" i="39"/>
  <c r="J100" i="39"/>
  <c r="J15" i="39"/>
  <c r="J11" i="39"/>
  <c r="J21" i="39"/>
  <c r="J40" i="39"/>
  <c r="J36" i="39"/>
  <c r="J67" i="39"/>
  <c r="J63" i="39"/>
  <c r="J83" i="39"/>
  <c r="J79" i="39"/>
  <c r="J93" i="39"/>
  <c r="J89" i="39"/>
  <c r="J102" i="39"/>
  <c r="J98" i="39"/>
  <c r="J16" i="39"/>
  <c r="J41" i="39"/>
  <c r="J44" i="39"/>
  <c r="J68" i="39"/>
  <c r="J84" i="39"/>
  <c r="J90" i="39"/>
  <c r="J99" i="39"/>
  <c r="J29" i="39"/>
  <c r="J20" i="39"/>
  <c r="J75" i="39"/>
  <c r="J104" i="39"/>
  <c r="J28" i="39"/>
  <c r="J72" i="39"/>
  <c r="J39" i="39"/>
  <c r="J65" i="39"/>
  <c r="J103" i="39"/>
  <c r="J24" i="39"/>
  <c r="J71" i="39"/>
  <c r="J91" i="39"/>
  <c r="F12" i="39"/>
  <c r="F92" i="39"/>
  <c r="F74" i="39"/>
  <c r="F36" i="39"/>
  <c r="F75" i="39"/>
  <c r="F80" i="39"/>
  <c r="F72" i="39"/>
  <c r="F27" i="39"/>
  <c r="F84" i="39"/>
  <c r="F95" i="39"/>
  <c r="F73" i="39"/>
  <c r="F44" i="39"/>
  <c r="F65" i="39"/>
  <c r="F20" i="39"/>
  <c r="F85" i="39"/>
  <c r="F29" i="39"/>
  <c r="F64" i="39"/>
  <c r="F71" i="39"/>
  <c r="F63" i="39"/>
  <c r="F38" i="39"/>
  <c r="F89" i="39"/>
  <c r="F28" i="39"/>
  <c r="F82" i="39"/>
  <c r="F67" i="39"/>
  <c r="F103" i="39"/>
  <c r="F94" i="39"/>
  <c r="F105" i="39"/>
  <c r="F31" i="39"/>
  <c r="F88" i="39"/>
  <c r="F68" i="39"/>
  <c r="F102" i="39"/>
  <c r="F62" i="39"/>
  <c r="F90" i="39"/>
  <c r="F34" i="39"/>
  <c r="F79" i="39"/>
  <c r="F37" i="39"/>
  <c r="F14" i="39"/>
  <c r="F91" i="39"/>
  <c r="F23" i="39"/>
  <c r="F70" i="39"/>
  <c r="F35" i="39"/>
  <c r="F21" i="39"/>
  <c r="F93" i="39"/>
  <c r="F100" i="39"/>
  <c r="F66" i="39"/>
  <c r="F101" i="39"/>
  <c r="F41" i="39"/>
  <c r="F13" i="39"/>
  <c r="F78" i="39"/>
  <c r="F81" i="39"/>
  <c r="F15" i="39"/>
  <c r="F39" i="39"/>
  <c r="F69" i="39"/>
  <c r="F11" i="39"/>
  <c r="F24" i="39"/>
  <c r="F83" i="39"/>
  <c r="F17" i="39"/>
  <c r="F99" i="39"/>
  <c r="F30" i="39"/>
  <c r="F104" i="39"/>
  <c r="F98" i="39"/>
  <c r="F22" i="39"/>
  <c r="I2" i="18"/>
  <c r="I3" i="18" s="1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I18" i="18" s="1"/>
  <c r="I19" i="18" s="1"/>
  <c r="I20" i="18" s="1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R35" i="4" l="1"/>
  <c r="A35" i="4"/>
  <c r="R34" i="4"/>
  <c r="A34" i="4"/>
  <c r="R33" i="4"/>
  <c r="A33" i="4"/>
  <c r="R32" i="4"/>
  <c r="A32" i="4"/>
  <c r="R31" i="4"/>
  <c r="A31" i="4"/>
  <c r="R30" i="4"/>
  <c r="A30" i="4"/>
  <c r="R29" i="4"/>
  <c r="A29" i="4"/>
  <c r="R28" i="4"/>
  <c r="A28" i="4"/>
  <c r="R27" i="4"/>
  <c r="A27" i="4"/>
  <c r="R26" i="4"/>
  <c r="A26" i="4"/>
  <c r="R25" i="4"/>
  <c r="A25" i="4"/>
  <c r="R24" i="4"/>
  <c r="A24" i="4"/>
  <c r="R23" i="4"/>
  <c r="A23" i="4"/>
  <c r="R22" i="4"/>
  <c r="G22" i="4"/>
  <c r="A22" i="4"/>
  <c r="R21" i="4"/>
  <c r="G21" i="4"/>
  <c r="A21" i="4"/>
  <c r="R20" i="4"/>
  <c r="G20" i="4"/>
  <c r="A20" i="4"/>
  <c r="R19" i="4"/>
  <c r="G19" i="4"/>
  <c r="A19" i="4"/>
  <c r="R18" i="4"/>
  <c r="G18" i="4"/>
  <c r="A18" i="4"/>
  <c r="R17" i="4"/>
  <c r="G17" i="4"/>
  <c r="A17" i="4"/>
  <c r="R16" i="4"/>
  <c r="A16" i="4"/>
  <c r="R15" i="4"/>
  <c r="G15" i="4"/>
  <c r="A15" i="4"/>
  <c r="R14" i="4"/>
  <c r="A14" i="4"/>
  <c r="R13" i="4"/>
  <c r="A13" i="4"/>
  <c r="R12" i="4"/>
  <c r="G12" i="4"/>
  <c r="A12" i="4"/>
  <c r="R11" i="4"/>
  <c r="A11" i="4"/>
  <c r="R10" i="4"/>
  <c r="A10" i="4"/>
  <c r="R9" i="4"/>
  <c r="A9" i="4"/>
  <c r="R8" i="4"/>
  <c r="A8" i="4"/>
  <c r="R7" i="4"/>
  <c r="A7" i="4"/>
  <c r="R6" i="4"/>
  <c r="A6" i="4"/>
  <c r="F3" i="4"/>
  <c r="K17" i="63" l="1"/>
  <c r="K13" i="63"/>
  <c r="K2" i="63"/>
  <c r="K14" i="62"/>
  <c r="K4" i="62"/>
  <c r="K14" i="61"/>
  <c r="K4" i="61"/>
  <c r="K15" i="60"/>
  <c r="K6" i="60"/>
  <c r="K16" i="63"/>
  <c r="K1" i="63"/>
  <c r="K17" i="62"/>
  <c r="K13" i="62"/>
  <c r="K2" i="62"/>
  <c r="K17" i="61"/>
  <c r="K13" i="61"/>
  <c r="K2" i="61"/>
  <c r="K14" i="60"/>
  <c r="K4" i="60"/>
  <c r="K15" i="58"/>
  <c r="K6" i="58"/>
  <c r="K14" i="57"/>
  <c r="K4" i="57"/>
  <c r="K14" i="56"/>
  <c r="K4" i="56"/>
  <c r="K14" i="55"/>
  <c r="K4" i="55"/>
  <c r="K17" i="54"/>
  <c r="K13" i="54"/>
  <c r="K2" i="54"/>
  <c r="K15" i="63"/>
  <c r="K6" i="63"/>
  <c r="K16" i="62"/>
  <c r="K1" i="62"/>
  <c r="K16" i="61"/>
  <c r="K1" i="61"/>
  <c r="K17" i="60"/>
  <c r="K13" i="60"/>
  <c r="K2" i="60"/>
  <c r="K14" i="58"/>
  <c r="K4" i="58"/>
  <c r="K17" i="57"/>
  <c r="K13" i="57"/>
  <c r="K2" i="57"/>
  <c r="K17" i="56"/>
  <c r="K13" i="56"/>
  <c r="K2" i="56"/>
  <c r="K17" i="55"/>
  <c r="K13" i="55"/>
  <c r="K2" i="55"/>
  <c r="K16" i="54"/>
  <c r="K1" i="54"/>
  <c r="K1" i="58"/>
  <c r="K16" i="56"/>
  <c r="K15" i="55"/>
  <c r="K13" i="58"/>
  <c r="K6" i="57"/>
  <c r="K15" i="56"/>
  <c r="K15" i="54"/>
  <c r="K4" i="54"/>
  <c r="K15" i="57"/>
  <c r="K16" i="55"/>
  <c r="K4" i="63"/>
  <c r="K6" i="62"/>
  <c r="K6" i="61"/>
  <c r="K1" i="60"/>
  <c r="K16" i="58"/>
  <c r="K1" i="56"/>
  <c r="K6" i="54"/>
  <c r="K14" i="63"/>
  <c r="K15" i="62"/>
  <c r="K15" i="61"/>
  <c r="K16" i="60"/>
  <c r="K16" i="57"/>
  <c r="K1" i="57"/>
  <c r="K6" i="55"/>
  <c r="K14" i="54"/>
  <c r="K17" i="58"/>
  <c r="K2" i="58"/>
  <c r="K6" i="56"/>
  <c r="K1" i="55"/>
</calcChain>
</file>

<file path=xl/comments1.xml><?xml version="1.0" encoding="utf-8"?>
<comments xmlns="http://schemas.openxmlformats.org/spreadsheetml/2006/main">
  <authors>
    <author>Admin</author>
    <author>UTC User</author>
    <author>GPA</author>
  </authors>
  <commentList>
    <comment ref="B21" authorId="0" shapeId="0">
      <text>
        <r>
          <rPr>
            <b/>
            <sz val="8"/>
            <color indexed="81"/>
            <rFont val="Tahoma"/>
            <family val="2"/>
          </rPr>
          <t>vêtements, carte d'affaire</t>
        </r>
      </text>
    </comment>
    <comment ref="B27" authorId="1" shapeId="0">
      <text>
        <r>
          <rPr>
            <b/>
            <sz val="8"/>
            <color indexed="81"/>
            <rFont val="Tahoma"/>
            <family val="2"/>
          </rPr>
          <t>Pièce informatique:</t>
        </r>
        <r>
          <rPr>
            <sz val="8"/>
            <color indexed="81"/>
            <rFont val="Tahoma"/>
            <family val="2"/>
          </rPr>
          <t xml:space="preserve">
CPU, mémoire,etc.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Outils:</t>
        </r>
        <r>
          <rPr>
            <sz val="8"/>
            <color indexed="81"/>
            <rFont val="Tahoma"/>
            <family val="2"/>
          </rPr>
          <t xml:space="preserve">
Pince, fer, solvant,etc.</t>
        </r>
      </text>
    </comment>
    <comment ref="B35" authorId="1" shapeId="0">
      <text>
        <r>
          <rPr>
            <b/>
            <sz val="8"/>
            <color indexed="81"/>
            <rFont val="Tahoma"/>
            <family val="2"/>
          </rPr>
          <t>Composantes électriques:</t>
        </r>
        <r>
          <rPr>
            <sz val="8"/>
            <color indexed="81"/>
            <rFont val="Tahoma"/>
            <family val="2"/>
          </rPr>
          <t xml:space="preserve">
Fils, puces, résistance, moteur,etc.</t>
        </r>
      </text>
    </comment>
    <comment ref="B36" authorId="1" shapeId="0">
      <text>
        <r>
          <rPr>
            <b/>
            <sz val="8"/>
            <color indexed="81"/>
            <rFont val="Tahoma"/>
            <family val="2"/>
          </rPr>
          <t>Instruments:</t>
        </r>
        <r>
          <rPr>
            <sz val="8"/>
            <color indexed="81"/>
            <rFont val="Tahoma"/>
            <family val="2"/>
          </rPr>
          <t xml:space="preserve">
Multimètres, source d'alimentation, oscilloscope,etc.</t>
        </r>
      </text>
    </comment>
    <comment ref="B44" authorId="1" shapeId="0">
      <text>
        <r>
          <rPr>
            <b/>
            <sz val="8"/>
            <color indexed="81"/>
            <rFont val="Tahoma"/>
            <family val="2"/>
          </rPr>
          <t>Outils:</t>
        </r>
        <r>
          <rPr>
            <sz val="8"/>
            <color indexed="81"/>
            <rFont val="Tahoma"/>
            <family val="2"/>
          </rPr>
          <t xml:space="preserve">
Pince, fer, solvant,etc.</t>
        </r>
      </text>
    </comment>
    <comment ref="B81" authorId="2" shapeId="0">
      <text>
        <r>
          <rPr>
            <b/>
            <sz val="8"/>
            <color indexed="81"/>
            <rFont val="Tahoma"/>
            <family val="2"/>
          </rPr>
          <t>Frais de test: achat de composante qui seront non-récupérable (ex: achat de pneu,etc.)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Si votre voyage a pour but une présentation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Si votre voyage a pour but une Conférence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Si votre voyage a pour but une autre raison, précisez</t>
        </r>
      </text>
    </comment>
  </commentList>
</comments>
</file>

<file path=xl/comments3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Si votre voyage a pour but une présentation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Si votre voyage a pour but une Conférence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Si votre voyage a pour but une autre raison, précisez</t>
        </r>
      </text>
    </comment>
  </commentList>
</comments>
</file>

<file path=xl/comments4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</commentList>
</comments>
</file>

<file path=xl/comments5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</commentList>
</comments>
</file>

<file path=xl/comments6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</commentList>
</comments>
</file>

<file path=xl/comments7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</commentList>
</comments>
</file>

<file path=xl/comments8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</commentList>
</comments>
</file>

<file path=xl/comments9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</commentList>
</comments>
</file>

<file path=xl/comments10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</commentList>
</comments>
</file>

<file path=xl/comments11.xml><?xml version="1.0" encoding="utf-8"?>
<comments xmlns="http://schemas.openxmlformats.org/spreadsheetml/2006/main">
  <authors>
    <author>Rémy Carpentier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Votre nom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Titre de la facture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Ecrire ici le montant donné par l'ETS en avance
Laisser vide sinon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Ne pas oublier de choisir un type de transaction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Ne pas oublier de choisir un groupe de dépense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Ne pas oublier de choisir un sous-groupe de dépense</t>
        </r>
      </text>
    </comment>
  </commentList>
</comments>
</file>

<file path=xl/sharedStrings.xml><?xml version="1.0" encoding="utf-8"?>
<sst xmlns="http://schemas.openxmlformats.org/spreadsheetml/2006/main" count="1274" uniqueCount="569">
  <si>
    <t>Montant total</t>
  </si>
  <si>
    <t>Propriétaire des factures</t>
  </si>
  <si>
    <t>Numéro de départ des factures</t>
  </si>
  <si>
    <t>Formation et perfectionnement/compétition</t>
  </si>
  <si>
    <t>Frais de déplacement</t>
  </si>
  <si>
    <t>Frais de réception</t>
  </si>
  <si>
    <t>Frais de représentation (Nourriture, logement)</t>
  </si>
  <si>
    <t>Fourniture et matériel</t>
  </si>
  <si>
    <t>Photocopies et impression</t>
  </si>
  <si>
    <t>Prestation postales (Douanes)</t>
  </si>
  <si>
    <t>Équipement &lt; 1000$</t>
  </si>
  <si>
    <t>Équipement &gt; 1000$</t>
  </si>
  <si>
    <t>Logiciel/License/Renouvellement &lt; 1000$</t>
  </si>
  <si>
    <t>Description</t>
  </si>
  <si>
    <t>Courriel</t>
  </si>
  <si>
    <t>Prénom</t>
  </si>
  <si>
    <t>Date</t>
  </si>
  <si>
    <t>Province</t>
  </si>
  <si>
    <t>Code Permanant</t>
  </si>
  <si>
    <t>UBR</t>
  </si>
  <si>
    <t>Dronolab</t>
  </si>
  <si>
    <t>Dronolab -ÉTS</t>
  </si>
  <si>
    <t>MEMBRES de l'ÉQUIPE 2015-2016</t>
  </si>
  <si>
    <t>Nom de famille</t>
  </si>
  <si>
    <t>Fonction</t>
  </si>
  <si>
    <t>Tél</t>
  </si>
  <si>
    <t>Address</t>
  </si>
  <si>
    <t>Ville natale (région)</t>
  </si>
  <si>
    <t>Code postal</t>
  </si>
  <si>
    <t>Cégep</t>
  </si>
  <si>
    <t>Formation club (Atelier)</t>
  </si>
  <si>
    <t>Formation véhicule de l'ETS</t>
  </si>
  <si>
    <t>Années à l'ETS</t>
  </si>
  <si>
    <t xml:space="preserve">Années au club </t>
  </si>
  <si>
    <t>Poste</t>
  </si>
  <si>
    <t>Beguin</t>
  </si>
  <si>
    <t>Liam</t>
  </si>
  <si>
    <t>BEGL02129304</t>
  </si>
  <si>
    <t>Membre ELE</t>
  </si>
  <si>
    <t>(514) 430-8113</t>
  </si>
  <si>
    <t>liambeguin@gmail.com</t>
  </si>
  <si>
    <t xml:space="preserve">France </t>
  </si>
  <si>
    <t>France</t>
  </si>
  <si>
    <t>IUT1 Grenoble, FRANCE</t>
  </si>
  <si>
    <t>OUI</t>
  </si>
  <si>
    <t>Ferland</t>
  </si>
  <si>
    <t>Mikaël</t>
  </si>
  <si>
    <t>FERM23108700</t>
  </si>
  <si>
    <t>(514) 220-2572</t>
  </si>
  <si>
    <t>mikael.ferland.1@etsmtl.net</t>
  </si>
  <si>
    <t>5370 avenue Jeanne d'arc</t>
  </si>
  <si>
    <t>Asbestos (Sherbrooke)</t>
  </si>
  <si>
    <t>H1X 2E7</t>
  </si>
  <si>
    <t>Qc</t>
  </si>
  <si>
    <t>La Cité collégiale</t>
  </si>
  <si>
    <t>NON</t>
  </si>
  <si>
    <t>McCarthy</t>
  </si>
  <si>
    <t>Michael</t>
  </si>
  <si>
    <t>GOEM19018907</t>
  </si>
  <si>
    <t>Membre MEC</t>
  </si>
  <si>
    <t>514 585-1872</t>
  </si>
  <si>
    <t>michael.mccarthy001@gmail.com</t>
  </si>
  <si>
    <t>Montreal (Verdun)</t>
  </si>
  <si>
    <t>Dawson</t>
  </si>
  <si>
    <t>Pierrat</t>
  </si>
  <si>
    <t>Jonathan</t>
  </si>
  <si>
    <t>PEIJ31109104</t>
  </si>
  <si>
    <t>Membre GPA (Capitaine)</t>
  </si>
  <si>
    <t>(514) 709-7340</t>
  </si>
  <si>
    <t>jonathan.pierrat1@gmail.com</t>
  </si>
  <si>
    <t>4796 rue Dagenais</t>
  </si>
  <si>
    <t>H4C 1L7</t>
  </si>
  <si>
    <t>IUT Bethune</t>
  </si>
  <si>
    <t>Rolland</t>
  </si>
  <si>
    <t>Francois-Xavier</t>
  </si>
  <si>
    <t>ROLF30109003</t>
  </si>
  <si>
    <t>(514) 433-5812</t>
  </si>
  <si>
    <t>rolland.fx@gmail.com</t>
  </si>
  <si>
    <t>CEGEP de Rimousky / IUT Cachan</t>
  </si>
  <si>
    <t>Laporte</t>
  </si>
  <si>
    <t>Louis</t>
  </si>
  <si>
    <t>LAPL14128903</t>
  </si>
  <si>
    <t>N/A</t>
  </si>
  <si>
    <t>louis.laporte12@gmail.com</t>
  </si>
  <si>
    <t>IUT Grenoble</t>
  </si>
  <si>
    <t>Pozzuoli</t>
  </si>
  <si>
    <t>Vincent</t>
  </si>
  <si>
    <t>POZV11029204</t>
  </si>
  <si>
    <t>Membre GPA</t>
  </si>
  <si>
    <t>514-652-4218</t>
  </si>
  <si>
    <t>IUT de Ville d'Avray, France</t>
  </si>
  <si>
    <t>Léveillé</t>
  </si>
  <si>
    <t>Suchart</t>
  </si>
  <si>
    <t>LEVS01089004</t>
  </si>
  <si>
    <t>(450)-210-1423</t>
  </si>
  <si>
    <t>suchartleveille21@gmail.com</t>
  </si>
  <si>
    <t>Saint-Jean-sur-Richelieu</t>
  </si>
  <si>
    <t>Cégep Saint-Jean-sur-Richelieu</t>
  </si>
  <si>
    <t>Potvin</t>
  </si>
  <si>
    <t>Alexis</t>
  </si>
  <si>
    <t>POTA11029402</t>
  </si>
  <si>
    <t>514-561-4838</t>
  </si>
  <si>
    <t>alexis.potvin.001@gmail.com</t>
  </si>
  <si>
    <t>317 Av. Edison Saint-Lambert</t>
  </si>
  <si>
    <t>Longueuil</t>
  </si>
  <si>
    <t>j4r 2p8</t>
  </si>
  <si>
    <t>Cegep Édouard-Montpetit</t>
  </si>
  <si>
    <t>Lozano</t>
  </si>
  <si>
    <t>Camilo</t>
  </si>
  <si>
    <t>LOZH13078507</t>
  </si>
  <si>
    <t>(514)229-5448</t>
  </si>
  <si>
    <t>Colombie</t>
  </si>
  <si>
    <t>Cégep de Maisonneuve</t>
  </si>
  <si>
    <t>Durocher</t>
  </si>
  <si>
    <t>Philippe</t>
  </si>
  <si>
    <t>DURL0509X403</t>
  </si>
  <si>
    <t>+01 514 819 3100</t>
  </si>
  <si>
    <t>dronolab@apexsciences.com</t>
  </si>
  <si>
    <t>Montreal</t>
  </si>
  <si>
    <t>Collège militaire royal de Saint-Jean (CMR)</t>
  </si>
  <si>
    <t>Labrecque</t>
  </si>
  <si>
    <t>Gabriel</t>
  </si>
  <si>
    <t>LABG01049408</t>
  </si>
  <si>
    <t>450-271-9837</t>
  </si>
  <si>
    <t>Saint-Damien (Lanaudière)</t>
  </si>
  <si>
    <t>Cégep de Trois-Rivières</t>
  </si>
  <si>
    <t>Poirier</t>
  </si>
  <si>
    <t>Pascal</t>
  </si>
  <si>
    <t>POIP26128804</t>
  </si>
  <si>
    <t>Member ELE</t>
  </si>
  <si>
    <t>438 392-7007</t>
  </si>
  <si>
    <t>Bonzel</t>
  </si>
  <si>
    <t>Pierre</t>
  </si>
  <si>
    <t>BONP01119206</t>
  </si>
  <si>
    <t>Membre MGA</t>
  </si>
  <si>
    <t>(514) 621 9414</t>
  </si>
  <si>
    <t>France, Paris</t>
  </si>
  <si>
    <t>ESME Sudria</t>
  </si>
  <si>
    <t>Archambault</t>
  </si>
  <si>
    <t>Massaki</t>
  </si>
  <si>
    <t>ARCM10069508</t>
  </si>
  <si>
    <t>Membre LOG</t>
  </si>
  <si>
    <t>450-482-3680 (Dom.)</t>
  </si>
  <si>
    <t>Longueuil (Montérégie)</t>
  </si>
  <si>
    <t>CÉGEP Édouard-Monpetit</t>
  </si>
  <si>
    <t>Abderraouf</t>
  </si>
  <si>
    <t>Chettibi</t>
  </si>
  <si>
    <t>CHEA17059405</t>
  </si>
  <si>
    <t>514 922-9486</t>
  </si>
  <si>
    <t>Alger</t>
  </si>
  <si>
    <t>Cégep André-Laurendeau</t>
  </si>
  <si>
    <t>0.66</t>
  </si>
  <si>
    <t>Larivière</t>
  </si>
  <si>
    <t>Richer</t>
  </si>
  <si>
    <t>LARR07109400</t>
  </si>
  <si>
    <t>(438) 827-4242</t>
  </si>
  <si>
    <t>Joliette (Lanaudière)</t>
  </si>
  <si>
    <t>Cégep régional de Lanaudière à Joliette (CRLJ)</t>
  </si>
  <si>
    <t>Beauséjour</t>
  </si>
  <si>
    <t>Kévin</t>
  </si>
  <si>
    <t>BEAK07129009</t>
  </si>
  <si>
    <t>(438) 404-3435</t>
  </si>
  <si>
    <t>kev.beausejour@gmail.com</t>
  </si>
  <si>
    <t>Marsolais</t>
  </si>
  <si>
    <t>Jérémy</t>
  </si>
  <si>
    <t>MARJ12029407</t>
  </si>
  <si>
    <t>450-750-8178</t>
  </si>
  <si>
    <t>marsolais32@gmail.com</t>
  </si>
  <si>
    <t>47 cote st louis</t>
  </si>
  <si>
    <t>St-Esprit (Lanaudière)</t>
  </si>
  <si>
    <t>J0K 2L0</t>
  </si>
  <si>
    <t>Cégep St-Jérome</t>
  </si>
  <si>
    <t>Gill</t>
  </si>
  <si>
    <t>Marie-Philippe</t>
  </si>
  <si>
    <t>GILM20599508</t>
  </si>
  <si>
    <t>450-558-4124</t>
  </si>
  <si>
    <t>mariephilippe.gill@gmail.com</t>
  </si>
  <si>
    <t>Granby</t>
  </si>
  <si>
    <t>Cégep de Granby</t>
  </si>
  <si>
    <t>Michot</t>
  </si>
  <si>
    <t>Kim</t>
  </si>
  <si>
    <t>MICK08108204</t>
  </si>
  <si>
    <t>438-490-5276</t>
  </si>
  <si>
    <t>michot.k@gmail.com</t>
  </si>
  <si>
    <t>Séoul</t>
  </si>
  <si>
    <t>L'école nationale d'aérotechnique</t>
  </si>
  <si>
    <t>Cavero-Linares</t>
  </si>
  <si>
    <t>Gabriella</t>
  </si>
  <si>
    <t>CAVG08599602</t>
  </si>
  <si>
    <t>514-803-2398</t>
  </si>
  <si>
    <t>gabriellacaverolinares@hotmail.com</t>
  </si>
  <si>
    <t>Cégep Maisonnneuve</t>
  </si>
  <si>
    <t>Inthiranathan</t>
  </si>
  <si>
    <t>Branavan</t>
  </si>
  <si>
    <t>INTB25099502</t>
  </si>
  <si>
    <t>(438)-792-7362</t>
  </si>
  <si>
    <t>ibranavan@gmail.com</t>
  </si>
  <si>
    <t>Kandy (Sri Lanka)</t>
  </si>
  <si>
    <t>SriLanka</t>
  </si>
  <si>
    <t>Collège International des Marcellines (CIM)</t>
  </si>
  <si>
    <t>Buisson</t>
  </si>
  <si>
    <t>BUIA2039402</t>
  </si>
  <si>
    <t>Huynh</t>
  </si>
  <si>
    <t>Audrey</t>
  </si>
  <si>
    <t>HUYA03549705</t>
  </si>
  <si>
    <t>514-424-6208</t>
  </si>
  <si>
    <t>audreyhuynh03@gmail.com</t>
  </si>
  <si>
    <t>Cégep du Vieux-Montréal</t>
  </si>
  <si>
    <t>Pelletier</t>
  </si>
  <si>
    <t>David</t>
  </si>
  <si>
    <t>PELD08079402</t>
  </si>
  <si>
    <t>438-491-9739</t>
  </si>
  <si>
    <t>david.pelletier06@gmail.com</t>
  </si>
  <si>
    <t>Saint-Eustache</t>
  </si>
  <si>
    <t>Collège Lionel-Groulx</t>
  </si>
  <si>
    <t>Martin</t>
  </si>
  <si>
    <t>MARD24049403</t>
  </si>
  <si>
    <t>514-349-8992</t>
  </si>
  <si>
    <t>d.martin77.1994@gmail.com</t>
  </si>
  <si>
    <t>Laval</t>
  </si>
  <si>
    <t>Collège Montmorency</t>
  </si>
  <si>
    <t>Marchand</t>
  </si>
  <si>
    <t>Nicolas</t>
  </si>
  <si>
    <t>MARN24099407</t>
  </si>
  <si>
    <t>nicolas.marchand.2@ens.etsmtl.ca</t>
  </si>
  <si>
    <t>Brisson</t>
  </si>
  <si>
    <t>Joel</t>
  </si>
  <si>
    <t>BRIJ10019201</t>
  </si>
  <si>
    <t>316-894-7064</t>
  </si>
  <si>
    <t>joel.brisson.1@etsmtl.net</t>
  </si>
  <si>
    <t>Ottawa</t>
  </si>
  <si>
    <t>Sid-Ali-Islem</t>
  </si>
  <si>
    <t>Souames</t>
  </si>
  <si>
    <t>SOUS24019600</t>
  </si>
  <si>
    <t>sid_ali_islem@hotmail.fr</t>
  </si>
  <si>
    <t>Skikda</t>
  </si>
  <si>
    <t>Collège Maisonneuve</t>
  </si>
  <si>
    <t xml:space="preserve"> </t>
  </si>
  <si>
    <t>Total</t>
  </si>
  <si>
    <t>Liste des comptes (Maximum de 50)</t>
  </si>
  <si>
    <t>No facture</t>
  </si>
  <si>
    <t>Date de départ</t>
  </si>
  <si>
    <t>Date de retour</t>
  </si>
  <si>
    <t>Destination</t>
  </si>
  <si>
    <t>Propriétaire</t>
  </si>
  <si>
    <t>Sujet de la présentation</t>
  </si>
  <si>
    <t>Nom de la conférence</t>
  </si>
  <si>
    <t>Kilométrage</t>
  </si>
  <si>
    <t>Nom</t>
  </si>
  <si>
    <t>Adresse</t>
  </si>
  <si>
    <t>Ville</t>
  </si>
  <si>
    <t>Prenom</t>
  </si>
  <si>
    <t>NomUA</t>
  </si>
  <si>
    <t>CodePermanent</t>
  </si>
  <si>
    <t>Tel requérant</t>
  </si>
  <si>
    <t>Tel Sup hiérarchique</t>
  </si>
  <si>
    <t>Réclamation$</t>
  </si>
  <si>
    <t>Avance</t>
  </si>
  <si>
    <t>SignatureDemandeur</t>
  </si>
  <si>
    <t>SignatureRequérant</t>
  </si>
  <si>
    <t>SignatureSupHiérarchique</t>
  </si>
  <si>
    <t>CodePostal</t>
  </si>
  <si>
    <t>TotalMontant</t>
  </si>
  <si>
    <t>ccMontant$1</t>
  </si>
  <si>
    <t>ccMontant$2</t>
  </si>
  <si>
    <t>ccMontant$3</t>
  </si>
  <si>
    <t>ccMontant$4</t>
  </si>
  <si>
    <t>ccMontant$5</t>
  </si>
  <si>
    <t>CC1</t>
  </si>
  <si>
    <t>CC2</t>
  </si>
  <si>
    <t>CC3</t>
  </si>
  <si>
    <t>CC4</t>
  </si>
  <si>
    <t>CC5</t>
  </si>
  <si>
    <t>Autre</t>
  </si>
  <si>
    <t>No Ref</t>
  </si>
  <si>
    <t>TypeRemboursement</t>
  </si>
  <si>
    <t xml:space="preserve">Plus de 8 articles </t>
  </si>
  <si>
    <t>Tel demandeur</t>
  </si>
  <si>
    <t>Type transaction</t>
  </si>
  <si>
    <t>Début période activité</t>
  </si>
  <si>
    <t>Fin période activité</t>
  </si>
  <si>
    <t>Administration</t>
  </si>
  <si>
    <t>Autres</t>
  </si>
  <si>
    <t>2001-Fourniture de bureau</t>
  </si>
  <si>
    <t>2101-Affiches, banières et stickers</t>
  </si>
  <si>
    <t>2302-Pièce informatique</t>
  </si>
  <si>
    <t>2401-Outils</t>
  </si>
  <si>
    <t>2501-Frais d'organisation</t>
  </si>
  <si>
    <t>2601-Matériel brut</t>
  </si>
  <si>
    <t>2701-Location du site</t>
  </si>
  <si>
    <t>2801-Frais d'inscription</t>
  </si>
  <si>
    <t>2901-Frais d'inscription</t>
  </si>
  <si>
    <t>3001-Imprévues (5% des dépenses)</t>
  </si>
  <si>
    <t>2002-Envoie postaux &amp; frais de livraison</t>
  </si>
  <si>
    <t>2102-Article promotionel</t>
  </si>
  <si>
    <t>2303-Antenne/routeur ubiquity</t>
  </si>
  <si>
    <t>2402-Carte de developement</t>
  </si>
  <si>
    <t>2602-Pièces</t>
  </si>
  <si>
    <t>2702-Location de véhicule</t>
  </si>
  <si>
    <t>2802-Frais de transport (équipement)</t>
  </si>
  <si>
    <t>2902-Frais de transport (équipement)</t>
  </si>
  <si>
    <t>2003-Matériel informatique</t>
  </si>
  <si>
    <t>2103-Remerciements des commanditaires</t>
  </si>
  <si>
    <t>2304-Caméra/gimbal/fpv</t>
  </si>
  <si>
    <t>2403-Instruments</t>
  </si>
  <si>
    <t>2603-Instrument de mesure</t>
  </si>
  <si>
    <t>2703-Location d'équipement</t>
  </si>
  <si>
    <t>2803-Frais de transport (personnes)</t>
  </si>
  <si>
    <t>2903-Frais de transport (personnes)</t>
  </si>
  <si>
    <t>2004-Matériel de rangement</t>
  </si>
  <si>
    <t>2104-Achat d'espace (kiosque, publicité, dj)</t>
  </si>
  <si>
    <t>2306-Ordinateur embarqué</t>
  </si>
  <si>
    <t>2404-Boîtiers</t>
  </si>
  <si>
    <t xml:space="preserve">2604-Outils </t>
  </si>
  <si>
    <t>2704-Frais de test</t>
  </si>
  <si>
    <t>2804-Hébergement</t>
  </si>
  <si>
    <t>2904-Hébergement</t>
  </si>
  <si>
    <t>2005-Frais de déplacement</t>
  </si>
  <si>
    <t>2105-Uniforme d'équipe</t>
  </si>
  <si>
    <t>2307-Station méteo</t>
  </si>
  <si>
    <t>2405-Composant électronique</t>
  </si>
  <si>
    <t>2605-Quincaillerie</t>
  </si>
  <si>
    <t>2705-Hebergement</t>
  </si>
  <si>
    <t>2805-Location de véhicule</t>
  </si>
  <si>
    <t>2905-Location de véhicule</t>
  </si>
  <si>
    <t>2006-Frais d'impression</t>
  </si>
  <si>
    <t>2406-Auto-pilote</t>
  </si>
  <si>
    <t>2606-Adhésif</t>
  </si>
  <si>
    <t>2706-Nourriture</t>
  </si>
  <si>
    <t>2806-Essence</t>
  </si>
  <si>
    <t>2906-Essence</t>
  </si>
  <si>
    <t>2007-Frais de douane</t>
  </si>
  <si>
    <t>2407-Logiciel de photogrametrie</t>
  </si>
  <si>
    <t>2607-Caisse de transport</t>
  </si>
  <si>
    <t>2707-Essence</t>
  </si>
  <si>
    <t>2807-Nourriture</t>
  </si>
  <si>
    <t>2907-Nourriture</t>
  </si>
  <si>
    <t>2408-Impression circuits imprimés</t>
  </si>
  <si>
    <t>2609-Prototypge rapide</t>
  </si>
  <si>
    <t>2708-Équipement de tests</t>
  </si>
  <si>
    <t>2808-Matériel compétition</t>
  </si>
  <si>
    <t>2908-Matériel compétition</t>
  </si>
  <si>
    <t>2610-Telecommande/recepteur</t>
  </si>
  <si>
    <t>2611-Moteur/Servomoteur/ESC/Helices</t>
  </si>
  <si>
    <t>2612-Batteries/Chargeur</t>
  </si>
  <si>
    <t>2613-Matériaux composite</t>
  </si>
  <si>
    <t>2614-Découpe de carbone</t>
  </si>
  <si>
    <t>2615-Usinage</t>
  </si>
  <si>
    <t>Frais_de_promotion</t>
  </si>
  <si>
    <t>Compétition_drone_de_course</t>
  </si>
  <si>
    <t>Réseau_et_télécommunication</t>
  </si>
  <si>
    <t>Auto_pilote_et_Ground_station</t>
  </si>
  <si>
    <t>Air_frame</t>
  </si>
  <si>
    <t>Groupe</t>
  </si>
  <si>
    <t>Sous groupe</t>
  </si>
  <si>
    <t>Tests_de_vol</t>
  </si>
  <si>
    <t/>
  </si>
  <si>
    <t>Compétition_2_USA</t>
  </si>
  <si>
    <t>Compétition_1_CANADA</t>
  </si>
  <si>
    <t>DRONOLAB</t>
  </si>
  <si>
    <t>Budget 2015-2016</t>
  </si>
  <si>
    <t>Revenus</t>
  </si>
  <si>
    <t>2015-2016</t>
  </si>
  <si>
    <t>2014-2015</t>
  </si>
  <si>
    <t>2012-2013</t>
  </si>
  <si>
    <t>Solde initial du club</t>
  </si>
  <si>
    <t>A</t>
  </si>
  <si>
    <t>Solde initial disponible</t>
  </si>
  <si>
    <t>Commandites en argent</t>
  </si>
  <si>
    <t>École de technologie supérieure</t>
  </si>
  <si>
    <t>Fond de Developement Durable</t>
  </si>
  <si>
    <t>AEETS (RACÉ)</t>
  </si>
  <si>
    <t>Avyon</t>
  </si>
  <si>
    <t>Bourse Coop</t>
  </si>
  <si>
    <t>Bell Helicopther</t>
  </si>
  <si>
    <t>CRIAQ</t>
  </si>
  <si>
    <t>Pratt &amp; Witney</t>
  </si>
  <si>
    <t>Prix competition AUVSI</t>
  </si>
  <si>
    <t>Cmc Electronique</t>
  </si>
  <si>
    <t>Vente de materiel entre club</t>
  </si>
  <si>
    <t>Desjardins</t>
  </si>
  <si>
    <t>Prix competition Unmaned syteme canada</t>
  </si>
  <si>
    <t>B</t>
  </si>
  <si>
    <t>Sous-total</t>
  </si>
  <si>
    <t>Activités promotionnelles</t>
  </si>
  <si>
    <t>Journée porte ouverte</t>
  </si>
  <si>
    <t>Vente d'article promotionnel</t>
  </si>
  <si>
    <t>Evenement competition robotique</t>
  </si>
  <si>
    <t>Journée porte ouverte ÉNA</t>
  </si>
  <si>
    <t>C</t>
  </si>
  <si>
    <t>Commandites matérielles</t>
  </si>
  <si>
    <t>Teledyne dalsa</t>
  </si>
  <si>
    <t>Labo circuits</t>
  </si>
  <si>
    <t>Cimetrix</t>
  </si>
  <si>
    <t>Elasto proxy</t>
  </si>
  <si>
    <t>Simactive</t>
  </si>
  <si>
    <t>ARA Robotique</t>
  </si>
  <si>
    <t>HobbyKing</t>
  </si>
  <si>
    <t>Nanuk</t>
  </si>
  <si>
    <t>Auberge de la chouette</t>
  </si>
  <si>
    <t>Weidmuller</t>
  </si>
  <si>
    <t>Loctite</t>
  </si>
  <si>
    <t>Coop ETS</t>
  </si>
  <si>
    <t>FPV Freak</t>
  </si>
  <si>
    <t>DT FPV</t>
  </si>
  <si>
    <t>D</t>
  </si>
  <si>
    <t xml:space="preserve">Total </t>
  </si>
  <si>
    <t>A + B + C + D</t>
  </si>
  <si>
    <t>Dépenses</t>
  </si>
  <si>
    <t>Fourniture de bureau</t>
  </si>
  <si>
    <t>Envoie postaux &amp; frais de livraison</t>
  </si>
  <si>
    <t>Matériel informatique</t>
  </si>
  <si>
    <t>Matériel de rangement</t>
  </si>
  <si>
    <t>Frais d'impression</t>
  </si>
  <si>
    <t>Frais de douane</t>
  </si>
  <si>
    <t>Frais de promotion</t>
  </si>
  <si>
    <t>Affiches, banières et stickers</t>
  </si>
  <si>
    <t>Article promotionel</t>
  </si>
  <si>
    <t>Remerciements des commanditaires</t>
  </si>
  <si>
    <t>Achat d'espace (kiosque, publicité, dj)</t>
  </si>
  <si>
    <t>Uniforme d'équipe</t>
  </si>
  <si>
    <t>Réseau et télècommunication</t>
  </si>
  <si>
    <t>Pièce informatique</t>
  </si>
  <si>
    <t>Antenne/routeur ubiquity</t>
  </si>
  <si>
    <t>Caméra/gimbal/fpv</t>
  </si>
  <si>
    <t>Ordinateur embarqué</t>
  </si>
  <si>
    <t>Station méteo</t>
  </si>
  <si>
    <t>Auto-pilote &amp; Ground station</t>
  </si>
  <si>
    <t>Outils</t>
  </si>
  <si>
    <t>Carte de developement</t>
  </si>
  <si>
    <t>Instruments</t>
  </si>
  <si>
    <t>Boîtiers</t>
  </si>
  <si>
    <t>Composant électronique</t>
  </si>
  <si>
    <t>Auto-pilote</t>
  </si>
  <si>
    <t>Logiciel de photogrametrie</t>
  </si>
  <si>
    <t>Impression circuits imprimés</t>
  </si>
  <si>
    <t>E</t>
  </si>
  <si>
    <t>Compétition drone de course</t>
  </si>
  <si>
    <t>Frais d'organisation</t>
  </si>
  <si>
    <t>F</t>
  </si>
  <si>
    <t>Air-frame</t>
  </si>
  <si>
    <t>Matériel brut</t>
  </si>
  <si>
    <t>Pièces</t>
  </si>
  <si>
    <t>Instrument de mesure</t>
  </si>
  <si>
    <t xml:space="preserve">Outils </t>
  </si>
  <si>
    <t>Quincaillerie</t>
  </si>
  <si>
    <t>Adhésif</t>
  </si>
  <si>
    <t>Caisse de transport</t>
  </si>
  <si>
    <t>Prototypge rapide</t>
  </si>
  <si>
    <t>Telecommande/recepteur</t>
  </si>
  <si>
    <t>Moteur/Servomoteur/ESC/Helices</t>
  </si>
  <si>
    <t>Batteries/Chargeur</t>
  </si>
  <si>
    <t>Matériaux composite</t>
  </si>
  <si>
    <t>Découpe de carbone</t>
  </si>
  <si>
    <t>Usinage</t>
  </si>
  <si>
    <t>G</t>
  </si>
  <si>
    <t>Tests de vols</t>
  </si>
  <si>
    <t>Location du site</t>
  </si>
  <si>
    <t>Location de véhicule</t>
  </si>
  <si>
    <t>Location d'équipement</t>
  </si>
  <si>
    <t>Frais de test</t>
  </si>
  <si>
    <t>Hebergement</t>
  </si>
  <si>
    <t>Nourriture</t>
  </si>
  <si>
    <t>Essence</t>
  </si>
  <si>
    <t>Équipement de tests</t>
  </si>
  <si>
    <t>H</t>
  </si>
  <si>
    <t>Compétition 1. (UAV CANADA ALMA) 10 pers</t>
  </si>
  <si>
    <t>Frais d'inscription</t>
  </si>
  <si>
    <t>Frais de transport (équipement)</t>
  </si>
  <si>
    <t>Frais de transport (personnes)</t>
  </si>
  <si>
    <t>Hébergement</t>
  </si>
  <si>
    <t>Matériel compétition</t>
  </si>
  <si>
    <t>I</t>
  </si>
  <si>
    <t>Compétition 2. (SUAS LEXINGTON PARK USA) 10 pers</t>
  </si>
  <si>
    <t>J</t>
  </si>
  <si>
    <t>Imprévues (5% des dépenses)</t>
  </si>
  <si>
    <t>A+B+C+D+E+F+G+H+I+J</t>
  </si>
  <si>
    <t>Budget 2016-2017</t>
  </si>
  <si>
    <t>2016-2017</t>
  </si>
  <si>
    <t>Compte</t>
  </si>
  <si>
    <t>Dépense</t>
  </si>
  <si>
    <t>Montant</t>
  </si>
  <si>
    <t>2016-17 prevision</t>
  </si>
  <si>
    <t>depot</t>
  </si>
  <si>
    <t>Dronolab ÉTS</t>
  </si>
  <si>
    <t>(450) 750-8178</t>
  </si>
  <si>
    <t>cheque</t>
  </si>
  <si>
    <t>Drono1649</t>
  </si>
  <si>
    <t>Richer Larivière</t>
  </si>
  <si>
    <t>Depenses pour la competition AUVSI SUAS 2016</t>
  </si>
  <si>
    <t>Lexington Park, Maryland, USA</t>
  </si>
  <si>
    <t>Compétition</t>
  </si>
  <si>
    <t>Burger King (repas pour 8 personnes)</t>
  </si>
  <si>
    <t>Cafeteria ETS  (repas pour 8 personnes)</t>
  </si>
  <si>
    <t>Plaza Azteca (repas pour 8 personnes)</t>
  </si>
  <si>
    <t>Buffalo Wild Wings (repas pour 8 personnes)</t>
  </si>
  <si>
    <t>Burger King (repas pour 2 personnes)</t>
  </si>
  <si>
    <t>Peage</t>
  </si>
  <si>
    <t>Route 66 (repas pour 3)</t>
  </si>
  <si>
    <t>Route 66 (repas pour 1)</t>
  </si>
  <si>
    <t>Essence ESSO, rue de la Montagne</t>
  </si>
  <si>
    <t>Drono1650</t>
  </si>
  <si>
    <t>Jérémy Marsolais</t>
  </si>
  <si>
    <t>Remboursement post-compétition</t>
  </si>
  <si>
    <t xml:space="preserve">Servo moteurs </t>
  </si>
  <si>
    <t>Washer M3</t>
  </si>
  <si>
    <t>Push rod</t>
  </si>
  <si>
    <t>Connecteur JST</t>
  </si>
  <si>
    <t>Mesure du vent</t>
  </si>
  <si>
    <t>XT30 (10 pairs)</t>
  </si>
  <si>
    <t>Gimbal Arris</t>
  </si>
  <si>
    <t>Test de vols/ Gimbal USA/ Teeny</t>
  </si>
  <si>
    <t>Bac, tape et autre (Pour organisation)</t>
  </si>
  <si>
    <t>Taxi vers vieux-montreal Hackerfest</t>
  </si>
  <si>
    <t>Taxi retour vieux-montreal Hackerfest</t>
  </si>
  <si>
    <t>Drono1651</t>
  </si>
  <si>
    <t>Mikaël Ferland</t>
  </si>
  <si>
    <t>Test de vol</t>
  </si>
  <si>
    <t>Test de vol et Imprimante 3D</t>
  </si>
  <si>
    <t>Nourriture test de vol (3 personnes)</t>
  </si>
  <si>
    <t>Drono1652</t>
  </si>
  <si>
    <t>Jonathan Pierrat</t>
  </si>
  <si>
    <t>Pieces</t>
  </si>
  <si>
    <t>essence</t>
  </si>
  <si>
    <t>support qx30</t>
  </si>
  <si>
    <t>moyeu roboshop</t>
  </si>
  <si>
    <t>pile 1,2v</t>
  </si>
  <si>
    <t>transmetter video 5,8</t>
  </si>
  <si>
    <t>Drono1653</t>
  </si>
  <si>
    <t>Alexis Potvin</t>
  </si>
  <si>
    <t>Essence test de vol et achat a6000</t>
  </si>
  <si>
    <t>test de vol</t>
  </si>
  <si>
    <t>fausse batterie a6000</t>
  </si>
  <si>
    <t>batterie + chargeur a6000</t>
  </si>
  <si>
    <t>carte sd a6000</t>
  </si>
  <si>
    <t>Drono1654</t>
  </si>
  <si>
    <t>Chettibi Abderraouf</t>
  </si>
  <si>
    <t xml:space="preserve">Fabrication d'une imprimante 3D multi matériaux pour le club
</t>
  </si>
  <si>
    <t>Drono1655</t>
  </si>
  <si>
    <t xml:space="preserve">Dépense post compétiton et matériel de rechange
</t>
  </si>
  <si>
    <t>Pile et autre</t>
  </si>
  <si>
    <t>Essence test de vol</t>
  </si>
  <si>
    <t>Extension Servo</t>
  </si>
  <si>
    <t>Allen Key</t>
  </si>
  <si>
    <t>Tip fer a souder</t>
  </si>
  <si>
    <t>Carte SD</t>
  </si>
  <si>
    <t>Led pour drone</t>
  </si>
  <si>
    <t>Dish airmax, rocket et bullet 5Gz</t>
  </si>
  <si>
    <t>Decoupe Laser</t>
  </si>
  <si>
    <t>Ordinateur de bord</t>
  </si>
  <si>
    <t>Drono1656</t>
  </si>
  <si>
    <t>Pierre Bonzel</t>
  </si>
  <si>
    <t xml:space="preserve">Dépense materiel pour tests de vol
</t>
  </si>
  <si>
    <t>Table pliante pour test de vol</t>
  </si>
  <si>
    <t>Drono1657</t>
  </si>
  <si>
    <t>prise de courant</t>
  </si>
  <si>
    <t>piege a souris</t>
  </si>
  <si>
    <t>batterie manette taranis</t>
  </si>
  <si>
    <t>photo costco</t>
  </si>
  <si>
    <t>relais 5v</t>
  </si>
  <si>
    <t>douane led rgb</t>
  </si>
  <si>
    <t>Drono1658</t>
  </si>
  <si>
    <t>Divers</t>
  </si>
  <si>
    <t>Chassis imprimante 3D</t>
  </si>
  <si>
    <t>Envoie plaque commandite</t>
  </si>
  <si>
    <t>Nappe pour événement</t>
  </si>
  <si>
    <t>Transceiver bluetooth (4)</t>
  </si>
  <si>
    <t>Joystick control Gimbal GroundStation</t>
  </si>
  <si>
    <t>Drono1659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</si>
</sst>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\ _€_-;\-* #,##0.00\ _€_-;_-* &quot;-&quot;??\ _€_-;_-@_-"/>
    <numFmt numFmtId="164" formatCode="#,##0.00\ &quot;$&quot;_);\(#,##0.00\ &quot;$&quot;\)"/>
    <numFmt numFmtId="165" formatCode="_ * #,##0.00_)\ &quot;$&quot;_ ;_ * \(#,##0.00\)\ &quot;$&quot;_ ;_ * &quot;-&quot;??_)\ &quot;$&quot;_ ;_ @_ "/>
    <numFmt numFmtId="166" formatCode="&quot;$&quot;#,##0.00_);\(&quot;$&quot;#,##0.00\)"/>
    <numFmt numFmtId="167" formatCode="_(&quot;$&quot;* #,##0.00_);_(&quot;$&quot;* \(#,##0.00\);_(&quot;$&quot;* &quot;-&quot;??_);_(@_)"/>
    <numFmt numFmtId="168" formatCode="_-[$$-409]* #,##0.00_ ;_-[$$-409]* \-#,##0.00\ ;_-[$$-409]* &quot;-&quot;??_ ;_-@_ "/>
    <numFmt numFmtId="169" formatCode="0.0%"/>
    <numFmt numFmtId="170" formatCode="_([$$-409]* #,##0.00_);_([$$-409]* \(#,##0.00\);_([$$-409]* &quot;-&quot;??_);_(@_)"/>
    <numFmt numFmtId="171" formatCode="_-[$$-409]* #.##0.00_ ;_-[$$-409]* \-#.##0.00\ ;_-[$$-409]* &quot;-&quot;??_ ;_-@_ "/>
  </numFmts>
  <fonts count="28" x14ac:knownFonts="1">
    <font>
      <sz val="11"/>
      <color theme="1"/>
      <name val="Calibri"/>
      <family val="2"/>
      <scheme val="minor"/>
    </font>
    <font>
      <sz val="14"/>
      <color theme="1"/>
      <name val="Calibri Light"/>
      <family val="1"/>
      <scheme val="maj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b/>
      <sz val="20"/>
      <color rgb="FFFF0000"/>
      <name val="Calibri"/>
      <family val="2"/>
    </font>
    <font>
      <sz val="14"/>
      <color rgb="FFFF0000"/>
      <name val="Calibri"/>
      <family val="2"/>
    </font>
    <font>
      <b/>
      <sz val="14"/>
      <color rgb="FF000000"/>
      <name val="Calibri"/>
      <family val="2"/>
    </font>
    <font>
      <u/>
      <sz val="14"/>
      <color rgb="FFFF0000"/>
      <name val="Calibri"/>
      <family val="2"/>
    </font>
    <font>
      <b/>
      <sz val="11"/>
      <color rgb="FF000000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1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6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8"/>
      <name val="Arial"/>
      <family val="2"/>
    </font>
    <font>
      <b/>
      <i/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indexed="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DB3E2"/>
        <bgColor rgb="FF8DB3E2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0" fontId="2" fillId="0" borderId="0"/>
    <xf numFmtId="0" fontId="11" fillId="0" borderId="0" applyNumberFormat="0" applyFill="0" applyBorder="0" applyAlignment="0" applyProtection="0"/>
    <xf numFmtId="167" fontId="14" fillId="0" borderId="0" applyFont="0" applyFill="0" applyBorder="0" applyAlignment="0" applyProtection="0"/>
    <xf numFmtId="0" fontId="12" fillId="0" borderId="0"/>
    <xf numFmtId="167" fontId="12" fillId="0" borderId="0" applyFont="0" applyFill="0" applyBorder="0" applyAlignment="0" applyProtection="0"/>
    <xf numFmtId="165" fontId="14" fillId="0" borderId="0" applyFont="0" applyFill="0" applyBorder="0" applyAlignment="0" applyProtection="0"/>
  </cellStyleXfs>
  <cellXfs count="286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3" borderId="4" xfId="0" applyFill="1" applyBorder="1"/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2" fillId="0" borderId="0" xfId="1" applyFont="1" applyAlignment="1"/>
    <xf numFmtId="0" fontId="3" fillId="5" borderId="0" xfId="1" applyFont="1" applyFill="1" applyBorder="1"/>
    <xf numFmtId="0" fontId="4" fillId="5" borderId="0" xfId="1" applyFont="1" applyFill="1" applyBorder="1"/>
    <xf numFmtId="0" fontId="4" fillId="5" borderId="0" xfId="1" applyFont="1" applyFill="1" applyBorder="1" applyAlignment="1">
      <alignment horizontal="center"/>
    </xf>
    <xf numFmtId="0" fontId="5" fillId="5" borderId="0" xfId="1" applyFont="1" applyFill="1" applyBorder="1" applyAlignment="1">
      <alignment horizontal="center" vertical="center"/>
    </xf>
    <xf numFmtId="0" fontId="6" fillId="5" borderId="0" xfId="1" applyFont="1" applyFill="1" applyBorder="1" applyAlignment="1">
      <alignment horizontal="center"/>
    </xf>
    <xf numFmtId="0" fontId="7" fillId="5" borderId="0" xfId="1" applyFont="1" applyFill="1" applyBorder="1"/>
    <xf numFmtId="0" fontId="8" fillId="5" borderId="0" xfId="1" applyFont="1" applyFill="1" applyBorder="1" applyAlignment="1">
      <alignment horizontal="center"/>
    </xf>
    <xf numFmtId="0" fontId="7" fillId="5" borderId="0" xfId="1" applyFont="1" applyFill="1" applyBorder="1" applyAlignment="1">
      <alignment horizontal="right"/>
    </xf>
    <xf numFmtId="0" fontId="3" fillId="5" borderId="0" xfId="1" applyFont="1" applyFill="1" applyBorder="1" applyAlignment="1">
      <alignment vertical="top"/>
    </xf>
    <xf numFmtId="0" fontId="3" fillId="5" borderId="0" xfId="1" applyFont="1" applyFill="1" applyBorder="1" applyAlignment="1">
      <alignment horizontal="center" vertical="top"/>
    </xf>
    <xf numFmtId="0" fontId="9" fillId="5" borderId="14" xfId="1" applyFont="1" applyFill="1" applyBorder="1" applyAlignment="1">
      <alignment horizontal="center"/>
    </xf>
    <xf numFmtId="0" fontId="9" fillId="6" borderId="13" xfId="1" applyFont="1" applyFill="1" applyBorder="1" applyAlignment="1">
      <alignment horizontal="center"/>
    </xf>
    <xf numFmtId="0" fontId="10" fillId="6" borderId="13" xfId="1" applyFont="1" applyFill="1" applyBorder="1" applyAlignment="1"/>
    <xf numFmtId="0" fontId="10" fillId="6" borderId="13" xfId="1" applyFont="1" applyFill="1" applyBorder="1" applyAlignment="1">
      <alignment horizontal="center"/>
    </xf>
    <xf numFmtId="0" fontId="2" fillId="0" borderId="13" xfId="1" applyFill="1" applyBorder="1"/>
    <xf numFmtId="0" fontId="2" fillId="0" borderId="13" xfId="1" applyFont="1" applyBorder="1" applyAlignment="1"/>
    <xf numFmtId="0" fontId="2" fillId="0" borderId="13" xfId="1" applyFont="1" applyFill="1" applyBorder="1"/>
    <xf numFmtId="0" fontId="11" fillId="0" borderId="13" xfId="2" applyFill="1" applyBorder="1"/>
    <xf numFmtId="0" fontId="12" fillId="0" borderId="13" xfId="1" applyFont="1" applyBorder="1"/>
    <xf numFmtId="0" fontId="11" fillId="0" borderId="13" xfId="2" applyBorder="1"/>
    <xf numFmtId="0" fontId="3" fillId="0" borderId="15" xfId="1" applyFont="1" applyBorder="1" applyAlignment="1">
      <alignment wrapText="1"/>
    </xf>
    <xf numFmtId="0" fontId="3" fillId="0" borderId="16" xfId="1" applyFont="1" applyBorder="1" applyAlignment="1">
      <alignment wrapText="1"/>
    </xf>
    <xf numFmtId="0" fontId="12" fillId="0" borderId="17" xfId="1" applyFont="1" applyBorder="1"/>
    <xf numFmtId="0" fontId="2" fillId="0" borderId="17" xfId="1" applyFill="1" applyBorder="1"/>
    <xf numFmtId="0" fontId="11" fillId="0" borderId="17" xfId="2" applyBorder="1"/>
    <xf numFmtId="0" fontId="2" fillId="0" borderId="17" xfId="1" applyFont="1" applyFill="1" applyBorder="1" applyAlignment="1"/>
    <xf numFmtId="0" fontId="2" fillId="0" borderId="17" xfId="1" applyFont="1" applyBorder="1" applyAlignment="1"/>
    <xf numFmtId="0" fontId="12" fillId="0" borderId="0" xfId="1" applyFont="1"/>
    <xf numFmtId="0" fontId="1" fillId="2" borderId="4" xfId="0" applyFont="1" applyFill="1" applyBorder="1" applyAlignment="1">
      <alignment horizontal="center"/>
    </xf>
    <xf numFmtId="0" fontId="0" fillId="3" borderId="19" xfId="0" applyFill="1" applyBorder="1"/>
    <xf numFmtId="0" fontId="0" fillId="3" borderId="20" xfId="0" applyFill="1" applyBorder="1"/>
    <xf numFmtId="0" fontId="0" fillId="4" borderId="9" xfId="0" applyFill="1" applyBorder="1"/>
    <xf numFmtId="0" fontId="0" fillId="4" borderId="13" xfId="0" applyFill="1" applyBorder="1"/>
    <xf numFmtId="0" fontId="0" fillId="4" borderId="10" xfId="0" applyFill="1" applyBorder="1"/>
    <xf numFmtId="0" fontId="0" fillId="0" borderId="13" xfId="0" applyBorder="1"/>
    <xf numFmtId="0" fontId="0" fillId="0" borderId="0" xfId="0" applyBorder="1"/>
    <xf numFmtId="0" fontId="0" fillId="0" borderId="0" xfId="0" applyFill="1" applyBorder="1"/>
    <xf numFmtId="0" fontId="0" fillId="0" borderId="13" xfId="0" applyBorder="1" applyAlignment="1">
      <alignment horizontal="right"/>
    </xf>
    <xf numFmtId="167" fontId="0" fillId="0" borderId="13" xfId="3" applyFont="1" applyBorder="1" applyAlignment="1">
      <alignment horizontal="right"/>
    </xf>
    <xf numFmtId="167" fontId="0" fillId="0" borderId="21" xfId="3" applyFont="1" applyBorder="1" applyAlignment="1">
      <alignment horizontal="right"/>
    </xf>
    <xf numFmtId="14" fontId="0" fillId="0" borderId="13" xfId="0" applyNumberFormat="1" applyBorder="1" applyAlignment="1">
      <alignment horizontal="right"/>
    </xf>
    <xf numFmtId="0" fontId="0" fillId="3" borderId="13" xfId="0" applyFill="1" applyBorder="1" applyAlignment="1">
      <alignment horizontal="right"/>
    </xf>
    <xf numFmtId="0" fontId="0" fillId="3" borderId="21" xfId="0" applyFill="1" applyBorder="1" applyAlignment="1">
      <alignment horizontal="right"/>
    </xf>
    <xf numFmtId="14" fontId="0" fillId="3" borderId="13" xfId="0" applyNumberFormat="1" applyFill="1" applyBorder="1" applyAlignment="1">
      <alignment horizontal="right"/>
    </xf>
    <xf numFmtId="0" fontId="0" fillId="3" borderId="13" xfId="0" applyFill="1" applyBorder="1"/>
    <xf numFmtId="167" fontId="0" fillId="3" borderId="13" xfId="3" applyFont="1" applyFill="1" applyBorder="1" applyAlignment="1">
      <alignment horizontal="right"/>
    </xf>
    <xf numFmtId="0" fontId="13" fillId="3" borderId="13" xfId="0" applyFont="1" applyFill="1" applyBorder="1" applyAlignment="1">
      <alignment horizontal="right"/>
    </xf>
    <xf numFmtId="0" fontId="15" fillId="0" borderId="0" xfId="0" applyFont="1"/>
    <xf numFmtId="0" fontId="15" fillId="0" borderId="0" xfId="0" applyFont="1" applyBorder="1"/>
    <xf numFmtId="0" fontId="12" fillId="0" borderId="0" xfId="4"/>
    <xf numFmtId="0" fontId="12" fillId="0" borderId="0" xfId="4" applyFont="1" applyFill="1" applyBorder="1"/>
    <xf numFmtId="0" fontId="0" fillId="0" borderId="13" xfId="0" applyFill="1" applyBorder="1" applyAlignment="1">
      <alignment horizontal="left"/>
    </xf>
    <xf numFmtId="0" fontId="0" fillId="0" borderId="21" xfId="0" applyFill="1" applyBorder="1" applyAlignment="1">
      <alignment horizontal="left"/>
    </xf>
    <xf numFmtId="168" fontId="0" fillId="4" borderId="13" xfId="0" applyNumberFormat="1" applyFill="1" applyBorder="1"/>
    <xf numFmtId="0" fontId="0" fillId="3" borderId="0" xfId="0" applyFill="1"/>
    <xf numFmtId="166" fontId="0" fillId="3" borderId="19" xfId="0" applyNumberFormat="1" applyFill="1" applyBorder="1"/>
    <xf numFmtId="0" fontId="12" fillId="0" borderId="0" xfId="4" applyFill="1"/>
    <xf numFmtId="0" fontId="12" fillId="7" borderId="0" xfId="4" applyFont="1" applyFill="1" applyBorder="1" applyAlignment="1"/>
    <xf numFmtId="0" fontId="12" fillId="7" borderId="0" xfId="4" applyFont="1" applyFill="1" applyBorder="1"/>
    <xf numFmtId="0" fontId="12" fillId="7" borderId="0" xfId="4" applyFill="1"/>
    <xf numFmtId="0" fontId="0" fillId="7" borderId="0" xfId="0" applyFill="1"/>
    <xf numFmtId="0" fontId="12" fillId="0" borderId="0" xfId="4" applyAlignment="1">
      <alignment horizontal="center"/>
    </xf>
    <xf numFmtId="0" fontId="10" fillId="0" borderId="0" xfId="4" applyFont="1" applyAlignment="1">
      <alignment horizontal="center"/>
    </xf>
    <xf numFmtId="0" fontId="12" fillId="0" borderId="23" xfId="4" applyFont="1" applyBorder="1" applyAlignment="1">
      <alignment horizontal="center"/>
    </xf>
    <xf numFmtId="9" fontId="20" fillId="0" borderId="25" xfId="4" applyNumberFormat="1" applyFont="1" applyBorder="1"/>
    <xf numFmtId="0" fontId="12" fillId="0" borderId="13" xfId="4" applyBorder="1"/>
    <xf numFmtId="0" fontId="12" fillId="0" borderId="13" xfId="4" applyBorder="1" applyAlignment="1">
      <alignment horizontal="center"/>
    </xf>
    <xf numFmtId="169" fontId="20" fillId="9" borderId="25" xfId="4" applyNumberFormat="1" applyFont="1" applyFill="1" applyBorder="1"/>
    <xf numFmtId="0" fontId="12" fillId="0" borderId="21" xfId="4" applyBorder="1"/>
    <xf numFmtId="9" fontId="20" fillId="9" borderId="25" xfId="4" applyNumberFormat="1" applyFont="1" applyFill="1" applyBorder="1"/>
    <xf numFmtId="0" fontId="12" fillId="0" borderId="0" xfId="4" applyFont="1"/>
    <xf numFmtId="0" fontId="12" fillId="0" borderId="0" xfId="4" applyBorder="1"/>
    <xf numFmtId="43" fontId="12" fillId="0" borderId="0" xfId="4" applyNumberFormat="1"/>
    <xf numFmtId="167" fontId="12" fillId="0" borderId="29" xfId="4" applyNumberFormat="1" applyBorder="1"/>
    <xf numFmtId="167" fontId="12" fillId="0" borderId="0" xfId="4" applyNumberFormat="1"/>
    <xf numFmtId="0" fontId="19" fillId="8" borderId="22" xfId="4" applyFont="1" applyFill="1" applyBorder="1" applyAlignment="1">
      <alignment horizontal="left"/>
    </xf>
    <xf numFmtId="0" fontId="19" fillId="8" borderId="24" xfId="4" applyFont="1" applyFill="1" applyBorder="1" applyAlignment="1">
      <alignment horizontal="left"/>
    </xf>
    <xf numFmtId="0" fontId="12" fillId="0" borderId="21" xfId="4" applyFill="1" applyBorder="1" applyAlignment="1">
      <alignment horizontal="center"/>
    </xf>
    <xf numFmtId="0" fontId="12" fillId="0" borderId="21" xfId="4" applyFill="1" applyBorder="1"/>
    <xf numFmtId="0" fontId="12" fillId="0" borderId="13" xfId="4" applyFill="1" applyBorder="1" applyAlignment="1">
      <alignment horizontal="center"/>
    </xf>
    <xf numFmtId="0" fontId="12" fillId="0" borderId="13" xfId="4" applyFill="1" applyBorder="1"/>
    <xf numFmtId="167" fontId="12" fillId="0" borderId="0" xfId="4" applyNumberFormat="1" applyBorder="1"/>
    <xf numFmtId="167" fontId="0" fillId="0" borderId="0" xfId="5" applyFont="1"/>
    <xf numFmtId="0" fontId="19" fillId="8" borderId="23" xfId="4" applyFont="1" applyFill="1" applyBorder="1" applyAlignment="1">
      <alignment horizontal="left"/>
    </xf>
    <xf numFmtId="0" fontId="19" fillId="8" borderId="25" xfId="4" applyFont="1" applyFill="1" applyBorder="1" applyAlignment="1">
      <alignment horizontal="left"/>
    </xf>
    <xf numFmtId="0" fontId="12" fillId="0" borderId="13" xfId="4" applyFont="1" applyFill="1" applyBorder="1" applyAlignment="1">
      <alignment horizontal="center"/>
    </xf>
    <xf numFmtId="0" fontId="12" fillId="0" borderId="13" xfId="4" applyFont="1" applyFill="1" applyBorder="1" applyAlignment="1">
      <alignment horizontal="right"/>
    </xf>
    <xf numFmtId="0" fontId="12" fillId="0" borderId="23" xfId="4" applyBorder="1" applyAlignment="1">
      <alignment horizontal="center"/>
    </xf>
    <xf numFmtId="9" fontId="20" fillId="0" borderId="0" xfId="4" applyNumberFormat="1" applyFont="1" applyBorder="1"/>
    <xf numFmtId="167" fontId="12" fillId="0" borderId="24" xfId="4" applyNumberFormat="1" applyBorder="1"/>
    <xf numFmtId="167" fontId="10" fillId="0" borderId="30" xfId="4" applyNumberFormat="1" applyFont="1" applyBorder="1"/>
    <xf numFmtId="0" fontId="12" fillId="0" borderId="24" xfId="4" applyBorder="1" applyAlignment="1">
      <alignment horizontal="center"/>
    </xf>
    <xf numFmtId="0" fontId="12" fillId="0" borderId="24" xfId="4" applyBorder="1"/>
    <xf numFmtId="0" fontId="17" fillId="0" borderId="0" xfId="4" applyFont="1" applyBorder="1" applyAlignment="1">
      <alignment horizontal="center"/>
    </xf>
    <xf numFmtId="0" fontId="17" fillId="0" borderId="0" xfId="4" applyFont="1" applyBorder="1" applyAlignment="1"/>
    <xf numFmtId="170" fontId="10" fillId="0" borderId="0" xfId="4" applyNumberFormat="1" applyFont="1" applyBorder="1"/>
    <xf numFmtId="170" fontId="12" fillId="0" borderId="0" xfId="4" applyNumberFormat="1"/>
    <xf numFmtId="0" fontId="12" fillId="10" borderId="0" xfId="4" applyFill="1" applyAlignment="1">
      <alignment horizontal="center"/>
    </xf>
    <xf numFmtId="9" fontId="20" fillId="9" borderId="17" xfId="4" applyNumberFormat="1" applyFont="1" applyFill="1" applyBorder="1"/>
    <xf numFmtId="0" fontId="12" fillId="0" borderId="24" xfId="4" applyFill="1" applyBorder="1"/>
    <xf numFmtId="0" fontId="12" fillId="0" borderId="22" xfId="4" applyFill="1" applyBorder="1"/>
    <xf numFmtId="9" fontId="20" fillId="9" borderId="34" xfId="4" applyNumberFormat="1" applyFont="1" applyFill="1" applyBorder="1"/>
    <xf numFmtId="0" fontId="12" fillId="0" borderId="0" xfId="4" applyFill="1" applyBorder="1"/>
    <xf numFmtId="9" fontId="20" fillId="9" borderId="21" xfId="4" applyNumberFormat="1" applyFont="1" applyFill="1" applyBorder="1"/>
    <xf numFmtId="168" fontId="12" fillId="0" borderId="21" xfId="4" applyNumberFormat="1" applyFill="1" applyBorder="1"/>
    <xf numFmtId="168" fontId="12" fillId="0" borderId="0" xfId="4" applyNumberFormat="1"/>
    <xf numFmtId="168" fontId="10" fillId="0" borderId="0" xfId="4" applyNumberFormat="1" applyFont="1"/>
    <xf numFmtId="0" fontId="12" fillId="9" borderId="22" xfId="4" applyFill="1" applyBorder="1"/>
    <xf numFmtId="0" fontId="2" fillId="9" borderId="13" xfId="4" applyNumberFormat="1" applyFont="1" applyFill="1" applyBorder="1" applyAlignment="1"/>
    <xf numFmtId="171" fontId="12" fillId="0" borderId="0" xfId="4" applyNumberFormat="1"/>
    <xf numFmtId="171" fontId="10" fillId="0" borderId="0" xfId="4" applyNumberFormat="1" applyFont="1"/>
    <xf numFmtId="0" fontId="12" fillId="9" borderId="13" xfId="4" applyFill="1" applyBorder="1"/>
    <xf numFmtId="168" fontId="12" fillId="9" borderId="21" xfId="4" applyNumberFormat="1" applyFill="1" applyBorder="1"/>
    <xf numFmtId="0" fontId="12" fillId="0" borderId="0" xfId="4" applyFont="1" applyAlignment="1">
      <alignment horizontal="center"/>
    </xf>
    <xf numFmtId="0" fontId="12" fillId="0" borderId="0" xfId="4" applyBorder="1" applyAlignment="1">
      <alignment horizontal="center"/>
    </xf>
    <xf numFmtId="168" fontId="12" fillId="0" borderId="0" xfId="4" applyNumberFormat="1" applyFill="1" applyBorder="1"/>
    <xf numFmtId="0" fontId="12" fillId="0" borderId="0" xfId="4" applyFont="1" applyBorder="1" applyAlignment="1">
      <alignment horizontal="center"/>
    </xf>
    <xf numFmtId="168" fontId="12" fillId="0" borderId="0" xfId="4" applyNumberFormat="1" applyFont="1" applyFill="1" applyBorder="1"/>
    <xf numFmtId="0" fontId="12" fillId="0" borderId="0" xfId="4" applyFont="1" applyFill="1"/>
    <xf numFmtId="0" fontId="2" fillId="0" borderId="13" xfId="4" applyNumberFormat="1" applyFont="1" applyFill="1" applyBorder="1" applyAlignment="1"/>
    <xf numFmtId="168" fontId="12" fillId="0" borderId="23" xfId="4" applyNumberFormat="1" applyFill="1" applyBorder="1"/>
    <xf numFmtId="0" fontId="12" fillId="0" borderId="21" xfId="4" applyBorder="1" applyAlignment="1"/>
    <xf numFmtId="0" fontId="12" fillId="0" borderId="13" xfId="4" applyFont="1" applyFill="1" applyBorder="1" applyAlignment="1"/>
    <xf numFmtId="0" fontId="12" fillId="0" borderId="13" xfId="4" applyBorder="1" applyAlignment="1"/>
    <xf numFmtId="0" fontId="12" fillId="0" borderId="13" xfId="4" applyFill="1" applyBorder="1" applyAlignment="1"/>
    <xf numFmtId="0" fontId="12" fillId="0" borderId="28" xfId="4" applyFill="1" applyBorder="1"/>
    <xf numFmtId="168" fontId="12" fillId="0" borderId="29" xfId="4" applyNumberFormat="1" applyFill="1" applyBorder="1"/>
    <xf numFmtId="168" fontId="12" fillId="0" borderId="13" xfId="4" applyNumberFormat="1" applyFill="1" applyBorder="1"/>
    <xf numFmtId="170" fontId="10" fillId="0" borderId="30" xfId="4" applyNumberFormat="1" applyFont="1" applyFill="1" applyBorder="1"/>
    <xf numFmtId="0" fontId="10" fillId="0" borderId="0" xfId="4" applyFont="1" applyFill="1"/>
    <xf numFmtId="9" fontId="20" fillId="0" borderId="0" xfId="4" applyNumberFormat="1" applyFont="1" applyFill="1" applyBorder="1"/>
    <xf numFmtId="170" fontId="12" fillId="0" borderId="0" xfId="4" applyNumberFormat="1" applyFill="1"/>
    <xf numFmtId="9" fontId="20" fillId="0" borderId="34" xfId="4" applyNumberFormat="1" applyFont="1" applyFill="1" applyBorder="1"/>
    <xf numFmtId="0" fontId="12" fillId="0" borderId="17" xfId="4" applyFill="1" applyBorder="1"/>
    <xf numFmtId="166" fontId="12" fillId="0" borderId="0" xfId="4" applyNumberFormat="1" applyFill="1" applyBorder="1"/>
    <xf numFmtId="166" fontId="12" fillId="0" borderId="0" xfId="4" applyNumberFormat="1" applyFont="1" applyFill="1" applyBorder="1"/>
    <xf numFmtId="166" fontId="12" fillId="9" borderId="22" xfId="4" applyNumberFormat="1" applyFill="1" applyBorder="1"/>
    <xf numFmtId="166" fontId="12" fillId="0" borderId="22" xfId="4" applyNumberFormat="1" applyFill="1" applyBorder="1"/>
    <xf numFmtId="166" fontId="2" fillId="0" borderId="13" xfId="4" applyNumberFormat="1" applyFont="1" applyFill="1" applyBorder="1" applyAlignment="1"/>
    <xf numFmtId="166" fontId="12" fillId="9" borderId="22" xfId="4" applyNumberFormat="1" applyFill="1" applyBorder="1"/>
    <xf numFmtId="166" fontId="2" fillId="0" borderId="13" xfId="4" applyNumberFormat="1" applyFont="1" applyFill="1" applyBorder="1" applyAlignment="1"/>
    <xf numFmtId="166" fontId="12" fillId="0" borderId="22" xfId="4" applyNumberFormat="1" applyFill="1" applyBorder="1"/>
    <xf numFmtId="166" fontId="12" fillId="0" borderId="13" xfId="4" applyNumberFormat="1" applyFill="1" applyBorder="1"/>
    <xf numFmtId="166" fontId="2" fillId="9" borderId="13" xfId="4" applyNumberFormat="1" applyFont="1" applyFill="1" applyBorder="1" applyAlignment="1"/>
    <xf numFmtId="0" fontId="12" fillId="0" borderId="24" xfId="4" applyBorder="1" applyAlignment="1">
      <alignment horizontal="center"/>
    </xf>
    <xf numFmtId="0" fontId="12" fillId="0" borderId="27" xfId="4" applyBorder="1" applyAlignment="1">
      <alignment horizontal="center"/>
    </xf>
    <xf numFmtId="0" fontId="12" fillId="0" borderId="28" xfId="4" applyBorder="1" applyAlignment="1">
      <alignment horizontal="center"/>
    </xf>
    <xf numFmtId="0" fontId="0" fillId="11" borderId="13" xfId="0" applyFill="1" applyBorder="1"/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right"/>
    </xf>
    <xf numFmtId="167" fontId="26" fillId="0" borderId="13" xfId="3" applyFont="1" applyBorder="1" applyAlignment="1">
      <alignment horizontal="right"/>
    </xf>
    <xf numFmtId="0" fontId="19" fillId="8" borderId="22" xfId="4" applyFont="1" applyFill="1" applyBorder="1" applyAlignment="1"/>
    <xf numFmtId="0" fontId="19" fillId="8" borderId="24" xfId="4" applyFont="1" applyFill="1" applyBorder="1" applyAlignment="1"/>
    <xf numFmtId="0" fontId="19" fillId="8" borderId="23" xfId="4" applyFont="1" applyFill="1" applyBorder="1" applyAlignment="1"/>
    <xf numFmtId="0" fontId="21" fillId="8" borderId="22" xfId="4" applyFont="1" applyFill="1" applyBorder="1" applyAlignment="1"/>
    <xf numFmtId="0" fontId="21" fillId="8" borderId="24" xfId="4" applyFont="1" applyFill="1" applyBorder="1" applyAlignment="1"/>
    <xf numFmtId="0" fontId="21" fillId="8" borderId="23" xfId="4" applyFont="1" applyFill="1" applyBorder="1" applyAlignment="1"/>
    <xf numFmtId="0" fontId="21" fillId="8" borderId="13" xfId="4" applyFont="1" applyFill="1" applyBorder="1" applyAlignment="1"/>
    <xf numFmtId="0" fontId="21" fillId="8" borderId="17" xfId="4" applyFont="1" applyFill="1" applyBorder="1" applyAlignment="1"/>
    <xf numFmtId="0" fontId="18" fillId="0" borderId="22" xfId="4" applyFont="1" applyBorder="1" applyAlignment="1"/>
    <xf numFmtId="0" fontId="18" fillId="0" borderId="23" xfId="4" applyFont="1" applyBorder="1" applyAlignment="1"/>
    <xf numFmtId="0" fontId="12" fillId="0" borderId="22" xfId="4" applyBorder="1" applyAlignment="1"/>
    <xf numFmtId="0" fontId="12" fillId="0" borderId="33" xfId="4" applyBorder="1" applyAlignment="1"/>
    <xf numFmtId="0" fontId="12" fillId="0" borderId="23" xfId="4" applyFont="1" applyFill="1" applyBorder="1" applyAlignment="1"/>
    <xf numFmtId="0" fontId="12" fillId="0" borderId="23" xfId="4" applyBorder="1" applyAlignment="1"/>
    <xf numFmtId="0" fontId="12" fillId="0" borderId="23" xfId="4" applyFill="1" applyBorder="1" applyAlignment="1"/>
    <xf numFmtId="0" fontId="12" fillId="0" borderId="32" xfId="4" applyBorder="1" applyAlignment="1">
      <alignment horizontal="center"/>
    </xf>
    <xf numFmtId="0" fontId="18" fillId="0" borderId="24" xfId="4" applyFont="1" applyBorder="1" applyAlignment="1"/>
    <xf numFmtId="0" fontId="12" fillId="0" borderId="32" xfId="4" applyBorder="1"/>
    <xf numFmtId="0" fontId="20" fillId="9" borderId="34" xfId="4" applyNumberFormat="1" applyFont="1" applyFill="1" applyBorder="1"/>
    <xf numFmtId="0" fontId="12" fillId="0" borderId="23" xfId="4" applyFill="1" applyBorder="1"/>
    <xf numFmtId="0" fontId="19" fillId="8" borderId="28" xfId="4" applyFont="1" applyFill="1" applyBorder="1" applyAlignment="1"/>
    <xf numFmtId="0" fontId="12" fillId="0" borderId="31" xfId="4" applyFill="1" applyBorder="1"/>
    <xf numFmtId="0" fontId="12" fillId="9" borderId="31" xfId="4" applyFill="1" applyBorder="1"/>
    <xf numFmtId="0" fontId="12" fillId="0" borderId="32" xfId="4" applyFill="1" applyBorder="1"/>
    <xf numFmtId="0" fontId="2" fillId="9" borderId="21" xfId="4" applyNumberFormat="1" applyFont="1" applyFill="1" applyBorder="1" applyAlignment="1"/>
    <xf numFmtId="167" fontId="0" fillId="0" borderId="35" xfId="3" applyFont="1" applyBorder="1" applyAlignment="1">
      <alignment horizontal="right"/>
    </xf>
    <xf numFmtId="0" fontId="13" fillId="3" borderId="35" xfId="0" applyFont="1" applyFill="1" applyBorder="1" applyAlignment="1">
      <alignment horizontal="right"/>
    </xf>
    <xf numFmtId="0" fontId="0" fillId="0" borderId="35" xfId="0" applyFill="1" applyBorder="1" applyAlignment="1">
      <alignment horizontal="left"/>
    </xf>
    <xf numFmtId="167" fontId="0" fillId="3" borderId="13" xfId="0" applyNumberFormat="1" applyFill="1" applyBorder="1" applyAlignment="1">
      <alignment horizontal="right"/>
    </xf>
    <xf numFmtId="0" fontId="0" fillId="10" borderId="13" xfId="0" applyFill="1" applyBorder="1" applyAlignment="1">
      <alignment horizontal="right"/>
    </xf>
    <xf numFmtId="167" fontId="26" fillId="10" borderId="13" xfId="3" applyFont="1" applyFill="1" applyBorder="1" applyAlignment="1">
      <alignment horizontal="right"/>
    </xf>
    <xf numFmtId="167" fontId="0" fillId="10" borderId="13" xfId="3" applyFont="1" applyFill="1" applyBorder="1" applyAlignment="1">
      <alignment horizontal="right"/>
    </xf>
    <xf numFmtId="167" fontId="0" fillId="10" borderId="35" xfId="3" applyFont="1" applyFill="1" applyBorder="1" applyAlignment="1">
      <alignment horizontal="right"/>
    </xf>
    <xf numFmtId="167" fontId="0" fillId="10" borderId="21" xfId="3" applyFont="1" applyFill="1" applyBorder="1" applyAlignment="1">
      <alignment horizontal="right"/>
    </xf>
    <xf numFmtId="0" fontId="0" fillId="10" borderId="13" xfId="0" applyFill="1" applyBorder="1"/>
    <xf numFmtId="0" fontId="0" fillId="10" borderId="0" xfId="0" applyFill="1"/>
    <xf numFmtId="0" fontId="0" fillId="10" borderId="13" xfId="0" applyFill="1" applyBorder="1" applyAlignment="1">
      <alignment horizontal="left"/>
    </xf>
    <xf numFmtId="0" fontId="0" fillId="10" borderId="21" xfId="0" applyFill="1" applyBorder="1" applyAlignment="1">
      <alignment horizontal="left"/>
    </xf>
    <xf numFmtId="0" fontId="27" fillId="0" borderId="0" xfId="0" applyFont="1"/>
    <xf numFmtId="164" fontId="12" fillId="0" borderId="22" xfId="4" applyNumberFormat="1" applyFill="1" applyBorder="1"/>
    <xf numFmtId="164" fontId="0" fillId="3" borderId="18" xfId="0" applyNumberFormat="1" applyFill="1" applyBorder="1"/>
    <xf numFmtId="0" fontId="0" fillId="0" borderId="13" xfId="0" applyFill="1" applyBorder="1" applyAlignment="1">
      <alignment horizontal="right"/>
    </xf>
    <xf numFmtId="164" fontId="2" fillId="0" borderId="13" xfId="4" applyNumberFormat="1" applyFont="1" applyFill="1" applyBorder="1" applyAlignment="1"/>
    <xf numFmtId="0" fontId="0" fillId="0" borderId="0" xfId="0"/>
    <xf numFmtId="0" fontId="26" fillId="0" borderId="13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0" xfId="0"/>
    <xf numFmtId="0" fontId="0" fillId="0" borderId="0" xfId="0" applyFill="1"/>
    <xf numFmtId="14" fontId="0" fillId="0" borderId="13" xfId="0" applyNumberFormat="1" applyBorder="1" applyAlignment="1">
      <alignment horizontal="left"/>
    </xf>
    <xf numFmtId="0" fontId="0" fillId="10" borderId="35" xfId="0" applyFill="1" applyBorder="1" applyAlignment="1">
      <alignment horizontal="left"/>
    </xf>
    <xf numFmtId="164" fontId="12" fillId="0" borderId="13" xfId="4" applyNumberFormat="1" applyFill="1" applyBorder="1"/>
    <xf numFmtId="0" fontId="26" fillId="10" borderId="13" xfId="0" applyFont="1" applyFill="1" applyBorder="1" applyAlignment="1">
      <alignment horizontal="left"/>
    </xf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/>
    <xf numFmtId="164" fontId="0" fillId="3" borderId="19" xfId="0" applyNumberFormat="1" applyFill="1" applyBorder="1"/>
    <xf numFmtId="0" fontId="0" fillId="4" borderId="13" xfId="0" applyFill="1" applyBorder="1" applyAlignment="1"/>
    <xf numFmtId="0" fontId="12" fillId="0" borderId="27" xfId="4" applyBorder="1" applyAlignment="1">
      <alignment horizontal="center"/>
    </xf>
    <xf numFmtId="0" fontId="12" fillId="0" borderId="28" xfId="4" applyBorder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0" borderId="0" xfId="4" applyFont="1" applyBorder="1" applyAlignment="1">
      <alignment horizontal="center"/>
    </xf>
    <xf numFmtId="0" fontId="12" fillId="0" borderId="0" xfId="4" applyFont="1" applyBorder="1" applyAlignment="1">
      <alignment horizontal="center"/>
    </xf>
    <xf numFmtId="0" fontId="18" fillId="0" borderId="13" xfId="4" applyFont="1" applyBorder="1" applyAlignment="1">
      <alignment horizontal="center"/>
    </xf>
    <xf numFmtId="0" fontId="18" fillId="0" borderId="22" xfId="4" applyFont="1" applyBorder="1" applyAlignment="1">
      <alignment horizontal="center"/>
    </xf>
    <xf numFmtId="0" fontId="18" fillId="0" borderId="23" xfId="4" applyFont="1" applyBorder="1" applyAlignment="1">
      <alignment horizontal="center"/>
    </xf>
    <xf numFmtId="0" fontId="18" fillId="0" borderId="17" xfId="4" applyFont="1" applyBorder="1" applyAlignment="1">
      <alignment horizontal="center"/>
    </xf>
    <xf numFmtId="0" fontId="19" fillId="8" borderId="22" xfId="4" applyFont="1" applyFill="1" applyBorder="1" applyAlignment="1">
      <alignment horizontal="left"/>
    </xf>
    <xf numFmtId="0" fontId="12" fillId="0" borderId="24" xfId="4" applyBorder="1"/>
    <xf numFmtId="0" fontId="12" fillId="0" borderId="23" xfId="4" applyBorder="1"/>
    <xf numFmtId="0" fontId="12" fillId="0" borderId="22" xfId="4" applyFont="1" applyBorder="1" applyAlignment="1">
      <alignment horizontal="center"/>
    </xf>
    <xf numFmtId="0" fontId="12" fillId="0" borderId="24" xfId="4" applyFont="1" applyBorder="1" applyAlignment="1">
      <alignment horizontal="center"/>
    </xf>
    <xf numFmtId="0" fontId="12" fillId="0" borderId="23" xfId="4" applyFont="1" applyBorder="1" applyAlignment="1">
      <alignment horizontal="center"/>
    </xf>
    <xf numFmtId="0" fontId="19" fillId="8" borderId="24" xfId="4" applyFont="1" applyFill="1" applyBorder="1" applyAlignment="1">
      <alignment horizontal="left"/>
    </xf>
    <xf numFmtId="0" fontId="19" fillId="8" borderId="23" xfId="4" applyFont="1" applyFill="1" applyBorder="1" applyAlignment="1">
      <alignment horizontal="left"/>
    </xf>
    <xf numFmtId="0" fontId="12" fillId="0" borderId="26" xfId="4" applyBorder="1" applyAlignment="1">
      <alignment horizontal="center"/>
    </xf>
    <xf numFmtId="0" fontId="12" fillId="0" borderId="0" xfId="4" applyBorder="1" applyAlignment="1">
      <alignment horizontal="center"/>
    </xf>
    <xf numFmtId="0" fontId="12" fillId="0" borderId="22" xfId="4" applyFill="1" applyBorder="1" applyAlignment="1">
      <alignment horizontal="center"/>
    </xf>
    <xf numFmtId="0" fontId="12" fillId="0" borderId="24" xfId="4" applyFill="1" applyBorder="1" applyAlignment="1">
      <alignment horizontal="center"/>
    </xf>
    <xf numFmtId="0" fontId="12" fillId="0" borderId="23" xfId="4" applyFill="1" applyBorder="1" applyAlignment="1">
      <alignment horizontal="center"/>
    </xf>
    <xf numFmtId="0" fontId="12" fillId="0" borderId="22" xfId="4" applyBorder="1" applyAlignment="1">
      <alignment horizontal="center"/>
    </xf>
    <xf numFmtId="0" fontId="12" fillId="0" borderId="24" xfId="4" applyBorder="1" applyAlignment="1">
      <alignment horizontal="center"/>
    </xf>
    <xf numFmtId="0" fontId="12" fillId="0" borderId="23" xfId="4" applyBorder="1" applyAlignment="1">
      <alignment horizontal="center"/>
    </xf>
    <xf numFmtId="0" fontId="12" fillId="0" borderId="22" xfId="4" applyFont="1" applyFill="1" applyBorder="1" applyAlignment="1">
      <alignment horizontal="center"/>
    </xf>
    <xf numFmtId="0" fontId="12" fillId="0" borderId="24" xfId="4" applyFont="1" applyFill="1" applyBorder="1" applyAlignment="1">
      <alignment horizontal="center"/>
    </xf>
    <xf numFmtId="0" fontId="12" fillId="0" borderId="23" xfId="4" applyFont="1" applyFill="1" applyBorder="1" applyAlignment="1">
      <alignment horizontal="center"/>
    </xf>
    <xf numFmtId="0" fontId="16" fillId="0" borderId="27" xfId="4" applyFont="1" applyBorder="1" applyAlignment="1">
      <alignment horizontal="center" vertical="center"/>
    </xf>
    <xf numFmtId="0" fontId="16" fillId="0" borderId="28" xfId="4" applyFont="1" applyBorder="1" applyAlignment="1">
      <alignment horizontal="center" vertical="center"/>
    </xf>
    <xf numFmtId="0" fontId="16" fillId="0" borderId="29" xfId="4" applyFont="1" applyBorder="1" applyAlignment="1">
      <alignment horizontal="center" vertical="center"/>
    </xf>
    <xf numFmtId="0" fontId="17" fillId="0" borderId="31" xfId="4" applyFont="1" applyBorder="1" applyAlignment="1">
      <alignment horizontal="center"/>
    </xf>
    <xf numFmtId="0" fontId="17" fillId="0" borderId="32" xfId="4" applyFont="1" applyBorder="1" applyAlignment="1">
      <alignment horizontal="center"/>
    </xf>
    <xf numFmtId="0" fontId="17" fillId="0" borderId="33" xfId="4" applyFont="1" applyBorder="1" applyAlignment="1">
      <alignment horizontal="center"/>
    </xf>
    <xf numFmtId="0" fontId="18" fillId="0" borderId="24" xfId="4" applyFont="1" applyBorder="1" applyAlignment="1">
      <alignment horizontal="center"/>
    </xf>
    <xf numFmtId="0" fontId="12" fillId="0" borderId="13" xfId="4" applyFill="1" applyBorder="1" applyAlignment="1">
      <alignment horizontal="left"/>
    </xf>
    <xf numFmtId="0" fontId="12" fillId="0" borderId="13" xfId="4" applyFont="1" applyBorder="1" applyAlignment="1">
      <alignment horizontal="left"/>
    </xf>
    <xf numFmtId="0" fontId="12" fillId="0" borderId="13" xfId="4" applyBorder="1" applyAlignment="1">
      <alignment horizontal="left"/>
    </xf>
    <xf numFmtId="0" fontId="12" fillId="0" borderId="13" xfId="4" applyFont="1" applyFill="1" applyBorder="1" applyAlignment="1">
      <alignment horizontal="left"/>
    </xf>
    <xf numFmtId="0" fontId="12" fillId="0" borderId="13" xfId="4" applyBorder="1" applyAlignment="1">
      <alignment horizontal="left" wrapText="1"/>
    </xf>
    <xf numFmtId="0" fontId="12" fillId="0" borderId="13" xfId="4" applyBorder="1" applyAlignment="1">
      <alignment horizontal="center"/>
    </xf>
    <xf numFmtId="0" fontId="12" fillId="0" borderId="22" xfId="4" applyFont="1" applyBorder="1" applyAlignment="1">
      <alignment horizontal="left"/>
    </xf>
    <xf numFmtId="0" fontId="12" fillId="0" borderId="24" xfId="4" applyFont="1" applyBorder="1" applyAlignment="1">
      <alignment horizontal="left"/>
    </xf>
    <xf numFmtId="0" fontId="12" fillId="0" borderId="23" xfId="4" applyFont="1" applyBorder="1" applyAlignment="1">
      <alignment horizontal="left"/>
    </xf>
    <xf numFmtId="0" fontId="12" fillId="0" borderId="21" xfId="4" applyFont="1" applyBorder="1" applyAlignment="1">
      <alignment horizontal="left"/>
    </xf>
    <xf numFmtId="0" fontId="12" fillId="0" borderId="21" xfId="4" applyBorder="1" applyAlignment="1">
      <alignment horizontal="left"/>
    </xf>
    <xf numFmtId="0" fontId="12" fillId="0" borderId="17" xfId="4" applyFont="1" applyBorder="1" applyAlignment="1">
      <alignment horizontal="left"/>
    </xf>
    <xf numFmtId="0" fontId="12" fillId="0" borderId="17" xfId="4" applyBorder="1" applyAlignment="1">
      <alignment horizontal="left"/>
    </xf>
    <xf numFmtId="0" fontId="12" fillId="0" borderId="31" xfId="4" applyBorder="1" applyAlignment="1">
      <alignment horizontal="left"/>
    </xf>
    <xf numFmtId="0" fontId="12" fillId="0" borderId="32" xfId="4" applyBorder="1" applyAlignment="1">
      <alignment horizontal="left"/>
    </xf>
    <xf numFmtId="0" fontId="12" fillId="0" borderId="33" xfId="4" applyBorder="1" applyAlignment="1">
      <alignment horizontal="left"/>
    </xf>
    <xf numFmtId="0" fontId="12" fillId="0" borderId="22" xfId="4" applyBorder="1" applyAlignment="1">
      <alignment horizontal="left"/>
    </xf>
    <xf numFmtId="0" fontId="12" fillId="0" borderId="24" xfId="4" applyBorder="1" applyAlignment="1">
      <alignment horizontal="left"/>
    </xf>
    <xf numFmtId="0" fontId="12" fillId="0" borderId="23" xfId="4" applyBorder="1" applyAlignment="1">
      <alignment horizontal="left"/>
    </xf>
    <xf numFmtId="0" fontId="12" fillId="0" borderId="0" xfId="4" applyBorder="1" applyAlignment="1">
      <alignment horizontal="left"/>
    </xf>
    <xf numFmtId="0" fontId="12" fillId="0" borderId="13" xfId="4" applyFont="1" applyBorder="1" applyAlignment="1">
      <alignment horizontal="center"/>
    </xf>
  </cellXfs>
  <cellStyles count="7">
    <cellStyle name="Lien hypertexte" xfId="2" builtinId="8"/>
    <cellStyle name="Monétaire" xfId="3" builtinId="4"/>
    <cellStyle name="Monétaire 2" xfId="5"/>
    <cellStyle name="Monétaire 3" xfId="6"/>
    <cellStyle name="Normal" xfId="0" builtinId="0"/>
    <cellStyle name="Normal 2" xfId="1"/>
    <cellStyle name="Normal 3" xfId="4"/>
  </cellStyles>
  <dxfs count="37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2</xdr:row>
      <xdr:rowOff>66675</xdr:rowOff>
    </xdr:to>
    <xdr:sp macro="[0]!nouvellefacture" textlink="">
      <xdr:nvSpPr>
        <xdr:cNvPr id="2" name="Rectangle 1"/>
        <xdr:cNvSpPr/>
      </xdr:nvSpPr>
      <xdr:spPr>
        <a:xfrm>
          <a:off x="0" y="0"/>
          <a:ext cx="4019550" cy="4476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CA" sz="2400">
              <a:latin typeface="+mj-lt"/>
            </a:rPr>
            <a:t>Nouvelle</a:t>
          </a:r>
          <a:r>
            <a:rPr lang="en-CA" sz="2400" baseline="0">
              <a:latin typeface="+mj-lt"/>
            </a:rPr>
            <a:t> Facture</a:t>
          </a:r>
          <a:endParaRPr lang="en-CA" sz="1100" baseline="0"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0</xdr:row>
      <xdr:rowOff>76200</xdr:rowOff>
    </xdr:from>
    <xdr:to>
      <xdr:col>2</xdr:col>
      <xdr:colOff>381000</xdr:colOff>
      <xdr:row>3</xdr:row>
      <xdr:rowOff>76200</xdr:rowOff>
    </xdr:to>
    <xdr:pic>
      <xdr:nvPicPr>
        <xdr:cNvPr id="2" name="image00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76350" y="76200"/>
          <a:ext cx="1695450" cy="962025"/>
        </a:xfrm>
        <a:prstGeom prst="rect">
          <a:avLst/>
        </a:prstGeom>
        <a:noFill/>
      </xdr:spPr>
    </xdr:pic>
    <xdr:clientData fLocksWithSheet="0"/>
  </xdr:twoCellAnchor>
  <xdr:twoCellAnchor editAs="oneCell">
    <xdr:from>
      <xdr:col>8</xdr:col>
      <xdr:colOff>2047875</xdr:colOff>
      <xdr:row>0</xdr:row>
      <xdr:rowOff>28575</xdr:rowOff>
    </xdr:from>
    <xdr:to>
      <xdr:col>10</xdr:col>
      <xdr:colOff>245971</xdr:colOff>
      <xdr:row>3</xdr:row>
      <xdr:rowOff>217607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35200" y="28575"/>
          <a:ext cx="1503271" cy="11510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1717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1717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1717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6289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6289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6289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6289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6289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6289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76200</xdr:rowOff>
    </xdr:from>
    <xdr:to>
      <xdr:col>5</xdr:col>
      <xdr:colOff>1343025</xdr:colOff>
      <xdr:row>4</xdr:row>
      <xdr:rowOff>104775</xdr:rowOff>
    </xdr:to>
    <xdr:sp macro="[0]!calculsstotaux" textlink="">
      <xdr:nvSpPr>
        <xdr:cNvPr id="2" name="Rectangle : coins arrondis 1"/>
        <xdr:cNvSpPr/>
      </xdr:nvSpPr>
      <xdr:spPr>
        <a:xfrm>
          <a:off x="4686300" y="457200"/>
          <a:ext cx="2628900" cy="409575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Valid &amp; Save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ptabilite2015-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an"/>
      <sheetName val="Facture"/>
      <sheetName val="Drono54"/>
      <sheetName val="Membres"/>
      <sheetName val="Caisse Dronolab"/>
      <sheetName val="Autres"/>
      <sheetName val="Drono49"/>
      <sheetName val="Drono50"/>
      <sheetName val="Drono51"/>
      <sheetName val="Drono52"/>
      <sheetName val="Drono53"/>
      <sheetName val="Drono55"/>
      <sheetName val="Drono57"/>
      <sheetName val="Drono36"/>
      <sheetName val="Feuil7"/>
      <sheetName val="Drono37"/>
      <sheetName val="Drono38"/>
      <sheetName val="Drono39"/>
      <sheetName val="Drono40"/>
      <sheetName val="Drono41"/>
      <sheetName val="Drono42"/>
      <sheetName val="Drono43"/>
      <sheetName val="Drono44"/>
      <sheetName val="Drono45"/>
      <sheetName val="Drono46"/>
    </sheetNames>
    <sheetDataSet>
      <sheetData sheetId="0" refreshError="1"/>
      <sheetData sheetId="1" refreshError="1"/>
      <sheetData sheetId="2">
        <row r="2">
          <cell r="E2" t="str">
            <v>Jérémy Marsolais</v>
          </cell>
        </row>
      </sheetData>
      <sheetData sheetId="3" refreshError="1"/>
      <sheetData sheetId="4" refreshError="1"/>
      <sheetData sheetId="5" refreshError="1"/>
      <sheetData sheetId="6">
        <row r="2">
          <cell r="E2" t="str">
            <v>Richer Larivière</v>
          </cell>
        </row>
      </sheetData>
      <sheetData sheetId="7">
        <row r="2">
          <cell r="E2" t="str">
            <v>Jérémy Marsolais</v>
          </cell>
        </row>
      </sheetData>
      <sheetData sheetId="8">
        <row r="2">
          <cell r="E2" t="str">
            <v>Mikaël Ferland</v>
          </cell>
        </row>
      </sheetData>
      <sheetData sheetId="9">
        <row r="2">
          <cell r="E2" t="str">
            <v>Jonathan Pierrat</v>
          </cell>
        </row>
      </sheetData>
      <sheetData sheetId="10">
        <row r="2">
          <cell r="E2" t="str">
            <v>Alexis Potvin</v>
          </cell>
        </row>
      </sheetData>
      <sheetData sheetId="11">
        <row r="2">
          <cell r="E2" t="str">
            <v>Jérémy Marsolais</v>
          </cell>
        </row>
      </sheetData>
      <sheetData sheetId="12">
        <row r="4">
          <cell r="E4">
            <v>0</v>
          </cell>
        </row>
      </sheetData>
      <sheetData sheetId="13">
        <row r="4">
          <cell r="E4">
            <v>0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a.chettibi@hotmail.com" TargetMode="External"/><Relationship Id="rId13" Type="http://schemas.openxmlformats.org/officeDocument/2006/relationships/hyperlink" Target="mailto:david.pelletier06@gmail.com" TargetMode="External"/><Relationship Id="rId18" Type="http://schemas.openxmlformats.org/officeDocument/2006/relationships/hyperlink" Target="mailto:sid_ali_islem@hotmail.fr" TargetMode="External"/><Relationship Id="rId3" Type="http://schemas.openxmlformats.org/officeDocument/2006/relationships/hyperlink" Target="mailto:hollman-camilo.lozano-suarez.1@etsmtl.net" TargetMode="External"/><Relationship Id="rId21" Type="http://schemas.openxmlformats.org/officeDocument/2006/relationships/drawing" Target="../drawings/drawing2.xml"/><Relationship Id="rId7" Type="http://schemas.openxmlformats.org/officeDocument/2006/relationships/hyperlink" Target="mailto:archambault.massaki@gmail.com" TargetMode="External"/><Relationship Id="rId12" Type="http://schemas.openxmlformats.org/officeDocument/2006/relationships/hyperlink" Target="mailto:audreyhuynh03@gmail.com" TargetMode="External"/><Relationship Id="rId17" Type="http://schemas.openxmlformats.org/officeDocument/2006/relationships/hyperlink" Target="mailto:mariephilippe.gill@gmail.com" TargetMode="External"/><Relationship Id="rId2" Type="http://schemas.openxmlformats.org/officeDocument/2006/relationships/hyperlink" Target="mailto:vincent.pozzuoli@gmail.com" TargetMode="External"/><Relationship Id="rId16" Type="http://schemas.openxmlformats.org/officeDocument/2006/relationships/hyperlink" Target="mailto:michot.k@gmail.com" TargetMode="External"/><Relationship Id="rId20" Type="http://schemas.openxmlformats.org/officeDocument/2006/relationships/printerSettings" Target="../printerSettings/printerSettings4.bin"/><Relationship Id="rId1" Type="http://schemas.openxmlformats.org/officeDocument/2006/relationships/hyperlink" Target="https://twitter.com/dronolab" TargetMode="External"/><Relationship Id="rId6" Type="http://schemas.openxmlformats.org/officeDocument/2006/relationships/hyperlink" Target="mailto:pierre.bonzel@gmail.com" TargetMode="External"/><Relationship Id="rId11" Type="http://schemas.openxmlformats.org/officeDocument/2006/relationships/hyperlink" Target="mailto:gabriellacaverolinares@hotmail.com" TargetMode="External"/><Relationship Id="rId5" Type="http://schemas.openxmlformats.org/officeDocument/2006/relationships/hyperlink" Target="mailto:ppoirier88@gmail.com" TargetMode="External"/><Relationship Id="rId15" Type="http://schemas.openxmlformats.org/officeDocument/2006/relationships/hyperlink" Target="mailto:nicolas.marchand.2@ens.etsmtl.ca" TargetMode="External"/><Relationship Id="rId10" Type="http://schemas.openxmlformats.org/officeDocument/2006/relationships/hyperlink" Target="mailto:ibranavan@gmail.com" TargetMode="External"/><Relationship Id="rId19" Type="http://schemas.openxmlformats.org/officeDocument/2006/relationships/hyperlink" Target="mailto:joel.brisson.1@etsmtl.net" TargetMode="External"/><Relationship Id="rId4" Type="http://schemas.openxmlformats.org/officeDocument/2006/relationships/hyperlink" Target="mailto:gabriel_lab@live.com" TargetMode="External"/><Relationship Id="rId9" Type="http://schemas.openxmlformats.org/officeDocument/2006/relationships/hyperlink" Target="mailto:richerlariviere@gmail.com" TargetMode="External"/><Relationship Id="rId14" Type="http://schemas.openxmlformats.org/officeDocument/2006/relationships/hyperlink" Target="mailto:d.martin77.1994@gmail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0000"/>
  </sheetPr>
  <dimension ref="A3:H55"/>
  <sheetViews>
    <sheetView zoomScale="90" zoomScaleNormal="90" workbookViewId="0">
      <selection activeCell="B36" sqref="B36"/>
    </sheetView>
  </sheetViews>
  <sheetFormatPr baseColWidth="10" defaultRowHeight="15" x14ac:dyDescent="0.25"/>
  <cols>
    <col min="1" max="1" width="14.85546875" customWidth="1"/>
    <col min="2" max="2" width="45.42578125" customWidth="1"/>
    <col min="3" max="3" width="19.85546875" bestFit="1" customWidth="1"/>
    <col min="4" max="4" width="30" bestFit="1" customWidth="1"/>
    <col min="5" max="5" width="7.140625" customWidth="1"/>
    <col min="6" max="6" width="42.85546875" bestFit="1" customWidth="1"/>
    <col min="9" max="9" width="20.42578125" bestFit="1" customWidth="1"/>
  </cols>
  <sheetData>
    <row r="3" spans="1:8" ht="15.75" thickBot="1" x14ac:dyDescent="0.3"/>
    <row r="4" spans="1:8" ht="19.5" thickBot="1" x14ac:dyDescent="0.35">
      <c r="A4" s="1" t="s">
        <v>240</v>
      </c>
      <c r="B4" s="2" t="s">
        <v>13</v>
      </c>
      <c r="C4" s="2" t="s">
        <v>0</v>
      </c>
      <c r="D4" s="3" t="s">
        <v>1</v>
      </c>
      <c r="F4" s="1" t="s">
        <v>2</v>
      </c>
      <c r="G4" s="4">
        <v>49</v>
      </c>
    </row>
    <row r="5" spans="1:8" ht="19.5" thickBot="1" x14ac:dyDescent="0.35">
      <c r="A5" s="45"/>
      <c r="B5" s="46"/>
      <c r="C5" s="67"/>
      <c r="D5" s="47"/>
      <c r="F5" s="5" t="s">
        <v>239</v>
      </c>
      <c r="G5" s="6"/>
      <c r="H5" s="42" t="s">
        <v>238</v>
      </c>
    </row>
    <row r="6" spans="1:8" x14ac:dyDescent="0.25">
      <c r="A6" s="45" t="s">
        <v>568</v>
      </c>
      <c r="B6" s="46" t="s">
        <v>562</v>
      </c>
      <c r="C6" s="67">
        <v>618.62</v>
      </c>
      <c r="D6" s="47" t="s">
        <v>502</v>
      </c>
      <c r="F6" s="7" t="s">
        <v>3</v>
      </c>
      <c r="G6" s="8">
        <v>53021</v>
      </c>
      <c r="H6" s="205">
        <v>560.28</v>
      </c>
    </row>
    <row r="7" spans="1:8" x14ac:dyDescent="0.25">
      <c r="A7" s="45" t="s">
        <v>554</v>
      </c>
      <c r="B7" s="46" t="s">
        <v>522</v>
      </c>
      <c r="C7" s="67">
        <v>363.48</v>
      </c>
      <c r="D7" s="47" t="s">
        <v>521</v>
      </c>
      <c r="F7" s="9" t="s">
        <v>4</v>
      </c>
      <c r="G7" s="10">
        <v>53111</v>
      </c>
      <c r="H7" s="69">
        <v>193.34</v>
      </c>
    </row>
    <row r="8" spans="1:8" x14ac:dyDescent="0.25">
      <c r="A8" s="45" t="s">
        <v>550</v>
      </c>
      <c r="B8" s="229" t="s">
        <v>552</v>
      </c>
      <c r="C8" s="67">
        <v>74.739999999999995</v>
      </c>
      <c r="D8" s="47" t="s">
        <v>551</v>
      </c>
      <c r="F8" s="9" t="s">
        <v>5</v>
      </c>
      <c r="G8" s="10">
        <v>53211</v>
      </c>
      <c r="H8" s="69"/>
    </row>
    <row r="9" spans="1:8" x14ac:dyDescent="0.25">
      <c r="A9" s="45" t="s">
        <v>538</v>
      </c>
      <c r="B9" s="229" t="s">
        <v>539</v>
      </c>
      <c r="C9" s="67">
        <v>1464.6</v>
      </c>
      <c r="D9" s="47" t="s">
        <v>502</v>
      </c>
      <c r="F9" s="9" t="s">
        <v>6</v>
      </c>
      <c r="G9" s="10">
        <v>53212</v>
      </c>
      <c r="H9" s="69">
        <v>35.619999999999997</v>
      </c>
    </row>
    <row r="10" spans="1:8" x14ac:dyDescent="0.25">
      <c r="A10" s="45" t="s">
        <v>535</v>
      </c>
      <c r="B10" s="229" t="s">
        <v>537</v>
      </c>
      <c r="C10" s="67">
        <v>967.32</v>
      </c>
      <c r="D10" s="47" t="s">
        <v>536</v>
      </c>
      <c r="F10" s="9" t="s">
        <v>7</v>
      </c>
      <c r="G10" s="10">
        <v>54201</v>
      </c>
      <c r="H10" s="228">
        <v>1026.46</v>
      </c>
    </row>
    <row r="11" spans="1:8" x14ac:dyDescent="0.25">
      <c r="A11" s="45" t="s">
        <v>528</v>
      </c>
      <c r="B11" s="46" t="s">
        <v>530</v>
      </c>
      <c r="C11" s="67">
        <v>103.87</v>
      </c>
      <c r="D11" s="47" t="s">
        <v>529</v>
      </c>
      <c r="F11" s="9" t="s">
        <v>8</v>
      </c>
      <c r="G11" s="10">
        <v>54206</v>
      </c>
      <c r="H11" s="43"/>
    </row>
    <row r="12" spans="1:8" x14ac:dyDescent="0.25">
      <c r="A12" s="45" t="s">
        <v>520</v>
      </c>
      <c r="B12" s="46" t="s">
        <v>522</v>
      </c>
      <c r="C12" s="67">
        <v>122.75</v>
      </c>
      <c r="D12" s="47" t="s">
        <v>521</v>
      </c>
      <c r="F12" s="9" t="s">
        <v>9</v>
      </c>
      <c r="G12" s="10">
        <v>54210</v>
      </c>
      <c r="H12" s="69">
        <v>210.75</v>
      </c>
    </row>
    <row r="13" spans="1:8" x14ac:dyDescent="0.25">
      <c r="A13" s="45" t="s">
        <v>515</v>
      </c>
      <c r="B13" s="46" t="s">
        <v>517</v>
      </c>
      <c r="C13" s="67">
        <v>71.62</v>
      </c>
      <c r="D13" s="47" t="s">
        <v>516</v>
      </c>
      <c r="F13" s="9" t="s">
        <v>10</v>
      </c>
      <c r="G13" s="10">
        <v>57253</v>
      </c>
      <c r="H13" s="69">
        <v>3157.84</v>
      </c>
    </row>
    <row r="14" spans="1:8" x14ac:dyDescent="0.25">
      <c r="A14" s="45" t="s">
        <v>501</v>
      </c>
      <c r="B14" s="46" t="s">
        <v>503</v>
      </c>
      <c r="C14" s="67">
        <v>814.53</v>
      </c>
      <c r="D14" s="47" t="s">
        <v>502</v>
      </c>
      <c r="F14" s="9" t="s">
        <v>11</v>
      </c>
      <c r="G14" s="10">
        <v>57254</v>
      </c>
      <c r="H14" s="69"/>
    </row>
    <row r="15" spans="1:8" x14ac:dyDescent="0.25">
      <c r="A15" s="45" t="s">
        <v>487</v>
      </c>
      <c r="B15" s="46" t="s">
        <v>489</v>
      </c>
      <c r="C15" s="67">
        <v>582.76</v>
      </c>
      <c r="D15" s="47" t="s">
        <v>488</v>
      </c>
      <c r="F15" s="9" t="s">
        <v>12</v>
      </c>
      <c r="G15" s="10">
        <v>58101</v>
      </c>
      <c r="H15" s="69"/>
    </row>
    <row r="16" spans="1:8" x14ac:dyDescent="0.25">
      <c r="F16" s="9"/>
      <c r="G16" s="10"/>
      <c r="H16" s="43"/>
    </row>
    <row r="17" spans="6:8" x14ac:dyDescent="0.25">
      <c r="F17" s="9"/>
      <c r="G17" s="10"/>
      <c r="H17" s="43"/>
    </row>
    <row r="18" spans="6:8" x14ac:dyDescent="0.25">
      <c r="F18" s="9"/>
      <c r="G18" s="10"/>
      <c r="H18" s="43"/>
    </row>
    <row r="19" spans="6:8" x14ac:dyDescent="0.25">
      <c r="F19" s="9"/>
      <c r="G19" s="10"/>
      <c r="H19" s="43"/>
    </row>
    <row r="20" spans="6:8" x14ac:dyDescent="0.25">
      <c r="F20" s="9"/>
      <c r="G20" s="10"/>
      <c r="H20" s="43"/>
    </row>
    <row r="21" spans="6:8" x14ac:dyDescent="0.25">
      <c r="F21" s="9"/>
      <c r="G21" s="10"/>
      <c r="H21" s="43"/>
    </row>
    <row r="22" spans="6:8" x14ac:dyDescent="0.25">
      <c r="F22" s="9"/>
      <c r="G22" s="10"/>
      <c r="H22" s="43"/>
    </row>
    <row r="23" spans="6:8" x14ac:dyDescent="0.25">
      <c r="F23" s="9"/>
      <c r="G23" s="10"/>
      <c r="H23" s="43"/>
    </row>
    <row r="24" spans="6:8" x14ac:dyDescent="0.25">
      <c r="F24" s="9"/>
      <c r="G24" s="10"/>
      <c r="H24" s="43"/>
    </row>
    <row r="25" spans="6:8" x14ac:dyDescent="0.25">
      <c r="F25" s="9"/>
      <c r="G25" s="10"/>
      <c r="H25" s="43"/>
    </row>
    <row r="26" spans="6:8" x14ac:dyDescent="0.25">
      <c r="F26" s="9"/>
      <c r="G26" s="10"/>
      <c r="H26" s="43"/>
    </row>
    <row r="27" spans="6:8" x14ac:dyDescent="0.25">
      <c r="F27" s="9"/>
      <c r="G27" s="10"/>
      <c r="H27" s="43"/>
    </row>
    <row r="28" spans="6:8" x14ac:dyDescent="0.25">
      <c r="F28" s="9"/>
      <c r="G28" s="10"/>
      <c r="H28" s="43"/>
    </row>
    <row r="29" spans="6:8" x14ac:dyDescent="0.25">
      <c r="F29" s="9"/>
      <c r="G29" s="10"/>
      <c r="H29" s="43"/>
    </row>
    <row r="30" spans="6:8" x14ac:dyDescent="0.25">
      <c r="F30" s="9"/>
      <c r="G30" s="10"/>
      <c r="H30" s="43"/>
    </row>
    <row r="31" spans="6:8" x14ac:dyDescent="0.25">
      <c r="F31" s="9"/>
      <c r="G31" s="10"/>
      <c r="H31" s="43"/>
    </row>
    <row r="32" spans="6:8" x14ac:dyDescent="0.25">
      <c r="F32" s="9"/>
      <c r="G32" s="10"/>
      <c r="H32" s="43"/>
    </row>
    <row r="33" spans="6:8" x14ac:dyDescent="0.25">
      <c r="F33" s="9"/>
      <c r="G33" s="10"/>
      <c r="H33" s="43"/>
    </row>
    <row r="34" spans="6:8" x14ac:dyDescent="0.25">
      <c r="F34" s="9"/>
      <c r="G34" s="10"/>
      <c r="H34" s="43"/>
    </row>
    <row r="35" spans="6:8" x14ac:dyDescent="0.25">
      <c r="F35" s="9"/>
      <c r="G35" s="10"/>
      <c r="H35" s="43"/>
    </row>
    <row r="36" spans="6:8" x14ac:dyDescent="0.25">
      <c r="F36" s="9"/>
      <c r="G36" s="10"/>
      <c r="H36" s="43"/>
    </row>
    <row r="37" spans="6:8" x14ac:dyDescent="0.25">
      <c r="F37" s="9"/>
      <c r="G37" s="10"/>
      <c r="H37" s="43"/>
    </row>
    <row r="38" spans="6:8" x14ac:dyDescent="0.25">
      <c r="F38" s="9"/>
      <c r="G38" s="10"/>
      <c r="H38" s="43"/>
    </row>
    <row r="39" spans="6:8" x14ac:dyDescent="0.25">
      <c r="F39" s="9"/>
      <c r="G39" s="10"/>
      <c r="H39" s="43"/>
    </row>
    <row r="40" spans="6:8" x14ac:dyDescent="0.25">
      <c r="F40" s="9"/>
      <c r="G40" s="10"/>
      <c r="H40" s="43"/>
    </row>
    <row r="41" spans="6:8" x14ac:dyDescent="0.25">
      <c r="F41" s="9"/>
      <c r="G41" s="10"/>
      <c r="H41" s="43"/>
    </row>
    <row r="42" spans="6:8" x14ac:dyDescent="0.25">
      <c r="F42" s="9"/>
      <c r="G42" s="10"/>
      <c r="H42" s="43"/>
    </row>
    <row r="43" spans="6:8" x14ac:dyDescent="0.25">
      <c r="F43" s="9"/>
      <c r="G43" s="10"/>
      <c r="H43" s="43"/>
    </row>
    <row r="44" spans="6:8" x14ac:dyDescent="0.25">
      <c r="F44" s="9"/>
      <c r="G44" s="10"/>
      <c r="H44" s="43"/>
    </row>
    <row r="45" spans="6:8" x14ac:dyDescent="0.25">
      <c r="F45" s="9"/>
      <c r="G45" s="10"/>
      <c r="H45" s="43"/>
    </row>
    <row r="46" spans="6:8" x14ac:dyDescent="0.25">
      <c r="F46" s="9"/>
      <c r="G46" s="10"/>
      <c r="H46" s="43"/>
    </row>
    <row r="47" spans="6:8" x14ac:dyDescent="0.25">
      <c r="F47" s="9"/>
      <c r="G47" s="10"/>
      <c r="H47" s="43"/>
    </row>
    <row r="48" spans="6:8" x14ac:dyDescent="0.25">
      <c r="F48" s="9"/>
      <c r="G48" s="10"/>
      <c r="H48" s="43"/>
    </row>
    <row r="49" spans="6:8" x14ac:dyDescent="0.25">
      <c r="F49" s="9"/>
      <c r="G49" s="10"/>
      <c r="H49" s="43"/>
    </row>
    <row r="50" spans="6:8" x14ac:dyDescent="0.25">
      <c r="F50" s="9"/>
      <c r="G50" s="10"/>
      <c r="H50" s="43"/>
    </row>
    <row r="51" spans="6:8" x14ac:dyDescent="0.25">
      <c r="F51" s="9"/>
      <c r="G51" s="10"/>
      <c r="H51" s="43"/>
    </row>
    <row r="52" spans="6:8" x14ac:dyDescent="0.25">
      <c r="F52" s="9"/>
      <c r="G52" s="10"/>
      <c r="H52" s="43"/>
    </row>
    <row r="53" spans="6:8" x14ac:dyDescent="0.25">
      <c r="F53" s="9"/>
      <c r="G53" s="10"/>
      <c r="H53" s="43"/>
    </row>
    <row r="54" spans="6:8" x14ac:dyDescent="0.25">
      <c r="F54" s="9"/>
      <c r="G54" s="10"/>
      <c r="H54" s="43"/>
    </row>
    <row r="55" spans="6:8" ht="15.75" thickBot="1" x14ac:dyDescent="0.3">
      <c r="F55" s="11"/>
      <c r="G55" s="12"/>
      <c r="H55" s="44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92D050"/>
    <pageSetUpPr fitToPage="1"/>
  </sheetPr>
  <dimension ref="A1:N49"/>
  <sheetViews>
    <sheetView showGridLines="0" topLeftCell="A15" zoomScale="133" zoomScaleNormal="100" workbookViewId="0">
      <selection activeCell="E12" sqref="E12"/>
    </sheetView>
  </sheetViews>
  <sheetFormatPr baseColWidth="10" defaultRowHeight="12.75" x14ac:dyDescent="0.2"/>
  <cols>
    <col min="1" max="1" width="9.140625" style="63" customWidth="1"/>
    <col min="2" max="3" width="11.42578125" style="63" customWidth="1"/>
    <col min="4" max="6" width="17.42578125" style="63" customWidth="1"/>
    <col min="7" max="7" width="11.42578125" style="63" customWidth="1"/>
    <col min="8" max="8" width="16" style="63" customWidth="1"/>
    <col min="9" max="9" width="11.42578125" style="63" hidden="1" customWidth="1"/>
    <col min="10" max="10" width="12.42578125" style="63" hidden="1" customWidth="1"/>
    <col min="11" max="11" width="12.42578125" style="63" bestFit="1" customWidth="1"/>
    <col min="12" max="12" width="13.42578125" style="63" bestFit="1" customWidth="1"/>
    <col min="13" max="256" width="11.42578125" style="63"/>
    <col min="257" max="257" width="9.140625" style="63" customWidth="1"/>
    <col min="258" max="259" width="11.42578125" style="63" customWidth="1"/>
    <col min="260" max="262" width="17.42578125" style="63" customWidth="1"/>
    <col min="263" max="263" width="11.42578125" style="63" customWidth="1"/>
    <col min="264" max="264" width="16" style="63" customWidth="1"/>
    <col min="265" max="266" width="0" style="63" hidden="1" customWidth="1"/>
    <col min="267" max="267" width="12.42578125" style="63" bestFit="1" customWidth="1"/>
    <col min="268" max="268" width="13.42578125" style="63" bestFit="1" customWidth="1"/>
    <col min="269" max="512" width="11.42578125" style="63"/>
    <col min="513" max="513" width="9.140625" style="63" customWidth="1"/>
    <col min="514" max="515" width="11.42578125" style="63" customWidth="1"/>
    <col min="516" max="518" width="17.42578125" style="63" customWidth="1"/>
    <col min="519" max="519" width="11.42578125" style="63" customWidth="1"/>
    <col min="520" max="520" width="16" style="63" customWidth="1"/>
    <col min="521" max="522" width="0" style="63" hidden="1" customWidth="1"/>
    <col min="523" max="523" width="12.42578125" style="63" bestFit="1" customWidth="1"/>
    <col min="524" max="524" width="13.42578125" style="63" bestFit="1" customWidth="1"/>
    <col min="525" max="768" width="11.42578125" style="63"/>
    <col min="769" max="769" width="9.140625" style="63" customWidth="1"/>
    <col min="770" max="771" width="11.42578125" style="63" customWidth="1"/>
    <col min="772" max="774" width="17.42578125" style="63" customWidth="1"/>
    <col min="775" max="775" width="11.42578125" style="63" customWidth="1"/>
    <col min="776" max="776" width="16" style="63" customWidth="1"/>
    <col min="777" max="778" width="0" style="63" hidden="1" customWidth="1"/>
    <col min="779" max="779" width="12.42578125" style="63" bestFit="1" customWidth="1"/>
    <col min="780" max="780" width="13.42578125" style="63" bestFit="1" customWidth="1"/>
    <col min="781" max="1024" width="11.42578125" style="63"/>
    <col min="1025" max="1025" width="9.140625" style="63" customWidth="1"/>
    <col min="1026" max="1027" width="11.42578125" style="63" customWidth="1"/>
    <col min="1028" max="1030" width="17.42578125" style="63" customWidth="1"/>
    <col min="1031" max="1031" width="11.42578125" style="63" customWidth="1"/>
    <col min="1032" max="1032" width="16" style="63" customWidth="1"/>
    <col min="1033" max="1034" width="0" style="63" hidden="1" customWidth="1"/>
    <col min="1035" max="1035" width="12.42578125" style="63" bestFit="1" customWidth="1"/>
    <col min="1036" max="1036" width="13.42578125" style="63" bestFit="1" customWidth="1"/>
    <col min="1037" max="1280" width="11.42578125" style="63"/>
    <col min="1281" max="1281" width="9.140625" style="63" customWidth="1"/>
    <col min="1282" max="1283" width="11.42578125" style="63" customWidth="1"/>
    <col min="1284" max="1286" width="17.42578125" style="63" customWidth="1"/>
    <col min="1287" max="1287" width="11.42578125" style="63" customWidth="1"/>
    <col min="1288" max="1288" width="16" style="63" customWidth="1"/>
    <col min="1289" max="1290" width="0" style="63" hidden="1" customWidth="1"/>
    <col min="1291" max="1291" width="12.42578125" style="63" bestFit="1" customWidth="1"/>
    <col min="1292" max="1292" width="13.42578125" style="63" bestFit="1" customWidth="1"/>
    <col min="1293" max="1536" width="11.42578125" style="63"/>
    <col min="1537" max="1537" width="9.140625" style="63" customWidth="1"/>
    <col min="1538" max="1539" width="11.42578125" style="63" customWidth="1"/>
    <col min="1540" max="1542" width="17.42578125" style="63" customWidth="1"/>
    <col min="1543" max="1543" width="11.42578125" style="63" customWidth="1"/>
    <col min="1544" max="1544" width="16" style="63" customWidth="1"/>
    <col min="1545" max="1546" width="0" style="63" hidden="1" customWidth="1"/>
    <col min="1547" max="1547" width="12.42578125" style="63" bestFit="1" customWidth="1"/>
    <col min="1548" max="1548" width="13.42578125" style="63" bestFit="1" customWidth="1"/>
    <col min="1549" max="1792" width="11.42578125" style="63"/>
    <col min="1793" max="1793" width="9.140625" style="63" customWidth="1"/>
    <col min="1794" max="1795" width="11.42578125" style="63" customWidth="1"/>
    <col min="1796" max="1798" width="17.42578125" style="63" customWidth="1"/>
    <col min="1799" max="1799" width="11.42578125" style="63" customWidth="1"/>
    <col min="1800" max="1800" width="16" style="63" customWidth="1"/>
    <col min="1801" max="1802" width="0" style="63" hidden="1" customWidth="1"/>
    <col min="1803" max="1803" width="12.42578125" style="63" bestFit="1" customWidth="1"/>
    <col min="1804" max="1804" width="13.42578125" style="63" bestFit="1" customWidth="1"/>
    <col min="1805" max="2048" width="11.42578125" style="63"/>
    <col min="2049" max="2049" width="9.140625" style="63" customWidth="1"/>
    <col min="2050" max="2051" width="11.42578125" style="63" customWidth="1"/>
    <col min="2052" max="2054" width="17.42578125" style="63" customWidth="1"/>
    <col min="2055" max="2055" width="11.42578125" style="63" customWidth="1"/>
    <col min="2056" max="2056" width="16" style="63" customWidth="1"/>
    <col min="2057" max="2058" width="0" style="63" hidden="1" customWidth="1"/>
    <col min="2059" max="2059" width="12.42578125" style="63" bestFit="1" customWidth="1"/>
    <col min="2060" max="2060" width="13.42578125" style="63" bestFit="1" customWidth="1"/>
    <col min="2061" max="2304" width="11.42578125" style="63"/>
    <col min="2305" max="2305" width="9.140625" style="63" customWidth="1"/>
    <col min="2306" max="2307" width="11.42578125" style="63" customWidth="1"/>
    <col min="2308" max="2310" width="17.42578125" style="63" customWidth="1"/>
    <col min="2311" max="2311" width="11.42578125" style="63" customWidth="1"/>
    <col min="2312" max="2312" width="16" style="63" customWidth="1"/>
    <col min="2313" max="2314" width="0" style="63" hidden="1" customWidth="1"/>
    <col min="2315" max="2315" width="12.42578125" style="63" bestFit="1" customWidth="1"/>
    <col min="2316" max="2316" width="13.42578125" style="63" bestFit="1" customWidth="1"/>
    <col min="2317" max="2560" width="11.42578125" style="63"/>
    <col min="2561" max="2561" width="9.140625" style="63" customWidth="1"/>
    <col min="2562" max="2563" width="11.42578125" style="63" customWidth="1"/>
    <col min="2564" max="2566" width="17.42578125" style="63" customWidth="1"/>
    <col min="2567" max="2567" width="11.42578125" style="63" customWidth="1"/>
    <col min="2568" max="2568" width="16" style="63" customWidth="1"/>
    <col min="2569" max="2570" width="0" style="63" hidden="1" customWidth="1"/>
    <col min="2571" max="2571" width="12.42578125" style="63" bestFit="1" customWidth="1"/>
    <col min="2572" max="2572" width="13.42578125" style="63" bestFit="1" customWidth="1"/>
    <col min="2573" max="2816" width="11.42578125" style="63"/>
    <col min="2817" max="2817" width="9.140625" style="63" customWidth="1"/>
    <col min="2818" max="2819" width="11.42578125" style="63" customWidth="1"/>
    <col min="2820" max="2822" width="17.42578125" style="63" customWidth="1"/>
    <col min="2823" max="2823" width="11.42578125" style="63" customWidth="1"/>
    <col min="2824" max="2824" width="16" style="63" customWidth="1"/>
    <col min="2825" max="2826" width="0" style="63" hidden="1" customWidth="1"/>
    <col min="2827" max="2827" width="12.42578125" style="63" bestFit="1" customWidth="1"/>
    <col min="2828" max="2828" width="13.42578125" style="63" bestFit="1" customWidth="1"/>
    <col min="2829" max="3072" width="11.42578125" style="63"/>
    <col min="3073" max="3073" width="9.140625" style="63" customWidth="1"/>
    <col min="3074" max="3075" width="11.42578125" style="63" customWidth="1"/>
    <col min="3076" max="3078" width="17.42578125" style="63" customWidth="1"/>
    <col min="3079" max="3079" width="11.42578125" style="63" customWidth="1"/>
    <col min="3080" max="3080" width="16" style="63" customWidth="1"/>
    <col min="3081" max="3082" width="0" style="63" hidden="1" customWidth="1"/>
    <col min="3083" max="3083" width="12.42578125" style="63" bestFit="1" customWidth="1"/>
    <col min="3084" max="3084" width="13.42578125" style="63" bestFit="1" customWidth="1"/>
    <col min="3085" max="3328" width="11.42578125" style="63"/>
    <col min="3329" max="3329" width="9.140625" style="63" customWidth="1"/>
    <col min="3330" max="3331" width="11.42578125" style="63" customWidth="1"/>
    <col min="3332" max="3334" width="17.42578125" style="63" customWidth="1"/>
    <col min="3335" max="3335" width="11.42578125" style="63" customWidth="1"/>
    <col min="3336" max="3336" width="16" style="63" customWidth="1"/>
    <col min="3337" max="3338" width="0" style="63" hidden="1" customWidth="1"/>
    <col min="3339" max="3339" width="12.42578125" style="63" bestFit="1" customWidth="1"/>
    <col min="3340" max="3340" width="13.42578125" style="63" bestFit="1" customWidth="1"/>
    <col min="3341" max="3584" width="11.42578125" style="63"/>
    <col min="3585" max="3585" width="9.140625" style="63" customWidth="1"/>
    <col min="3586" max="3587" width="11.42578125" style="63" customWidth="1"/>
    <col min="3588" max="3590" width="17.42578125" style="63" customWidth="1"/>
    <col min="3591" max="3591" width="11.42578125" style="63" customWidth="1"/>
    <col min="3592" max="3592" width="16" style="63" customWidth="1"/>
    <col min="3593" max="3594" width="0" style="63" hidden="1" customWidth="1"/>
    <col min="3595" max="3595" width="12.42578125" style="63" bestFit="1" customWidth="1"/>
    <col min="3596" max="3596" width="13.42578125" style="63" bestFit="1" customWidth="1"/>
    <col min="3597" max="3840" width="11.42578125" style="63"/>
    <col min="3841" max="3841" width="9.140625" style="63" customWidth="1"/>
    <col min="3842" max="3843" width="11.42578125" style="63" customWidth="1"/>
    <col min="3844" max="3846" width="17.42578125" style="63" customWidth="1"/>
    <col min="3847" max="3847" width="11.42578125" style="63" customWidth="1"/>
    <col min="3848" max="3848" width="16" style="63" customWidth="1"/>
    <col min="3849" max="3850" width="0" style="63" hidden="1" customWidth="1"/>
    <col min="3851" max="3851" width="12.42578125" style="63" bestFit="1" customWidth="1"/>
    <col min="3852" max="3852" width="13.42578125" style="63" bestFit="1" customWidth="1"/>
    <col min="3853" max="4096" width="11.42578125" style="63"/>
    <col min="4097" max="4097" width="9.140625" style="63" customWidth="1"/>
    <col min="4098" max="4099" width="11.42578125" style="63" customWidth="1"/>
    <col min="4100" max="4102" width="17.42578125" style="63" customWidth="1"/>
    <col min="4103" max="4103" width="11.42578125" style="63" customWidth="1"/>
    <col min="4104" max="4104" width="16" style="63" customWidth="1"/>
    <col min="4105" max="4106" width="0" style="63" hidden="1" customWidth="1"/>
    <col min="4107" max="4107" width="12.42578125" style="63" bestFit="1" customWidth="1"/>
    <col min="4108" max="4108" width="13.42578125" style="63" bestFit="1" customWidth="1"/>
    <col min="4109" max="4352" width="11.42578125" style="63"/>
    <col min="4353" max="4353" width="9.140625" style="63" customWidth="1"/>
    <col min="4354" max="4355" width="11.42578125" style="63" customWidth="1"/>
    <col min="4356" max="4358" width="17.42578125" style="63" customWidth="1"/>
    <col min="4359" max="4359" width="11.42578125" style="63" customWidth="1"/>
    <col min="4360" max="4360" width="16" style="63" customWidth="1"/>
    <col min="4361" max="4362" width="0" style="63" hidden="1" customWidth="1"/>
    <col min="4363" max="4363" width="12.42578125" style="63" bestFit="1" customWidth="1"/>
    <col min="4364" max="4364" width="13.42578125" style="63" bestFit="1" customWidth="1"/>
    <col min="4365" max="4608" width="11.42578125" style="63"/>
    <col min="4609" max="4609" width="9.140625" style="63" customWidth="1"/>
    <col min="4610" max="4611" width="11.42578125" style="63" customWidth="1"/>
    <col min="4612" max="4614" width="17.42578125" style="63" customWidth="1"/>
    <col min="4615" max="4615" width="11.42578125" style="63" customWidth="1"/>
    <col min="4616" max="4616" width="16" style="63" customWidth="1"/>
    <col min="4617" max="4618" width="0" style="63" hidden="1" customWidth="1"/>
    <col min="4619" max="4619" width="12.42578125" style="63" bestFit="1" customWidth="1"/>
    <col min="4620" max="4620" width="13.42578125" style="63" bestFit="1" customWidth="1"/>
    <col min="4621" max="4864" width="11.42578125" style="63"/>
    <col min="4865" max="4865" width="9.140625" style="63" customWidth="1"/>
    <col min="4866" max="4867" width="11.42578125" style="63" customWidth="1"/>
    <col min="4868" max="4870" width="17.42578125" style="63" customWidth="1"/>
    <col min="4871" max="4871" width="11.42578125" style="63" customWidth="1"/>
    <col min="4872" max="4872" width="16" style="63" customWidth="1"/>
    <col min="4873" max="4874" width="0" style="63" hidden="1" customWidth="1"/>
    <col min="4875" max="4875" width="12.42578125" style="63" bestFit="1" customWidth="1"/>
    <col min="4876" max="4876" width="13.42578125" style="63" bestFit="1" customWidth="1"/>
    <col min="4877" max="5120" width="11.42578125" style="63"/>
    <col min="5121" max="5121" width="9.140625" style="63" customWidth="1"/>
    <col min="5122" max="5123" width="11.42578125" style="63" customWidth="1"/>
    <col min="5124" max="5126" width="17.42578125" style="63" customWidth="1"/>
    <col min="5127" max="5127" width="11.42578125" style="63" customWidth="1"/>
    <col min="5128" max="5128" width="16" style="63" customWidth="1"/>
    <col min="5129" max="5130" width="0" style="63" hidden="1" customWidth="1"/>
    <col min="5131" max="5131" width="12.42578125" style="63" bestFit="1" customWidth="1"/>
    <col min="5132" max="5132" width="13.42578125" style="63" bestFit="1" customWidth="1"/>
    <col min="5133" max="5376" width="11.42578125" style="63"/>
    <col min="5377" max="5377" width="9.140625" style="63" customWidth="1"/>
    <col min="5378" max="5379" width="11.42578125" style="63" customWidth="1"/>
    <col min="5380" max="5382" width="17.42578125" style="63" customWidth="1"/>
    <col min="5383" max="5383" width="11.42578125" style="63" customWidth="1"/>
    <col min="5384" max="5384" width="16" style="63" customWidth="1"/>
    <col min="5385" max="5386" width="0" style="63" hidden="1" customWidth="1"/>
    <col min="5387" max="5387" width="12.42578125" style="63" bestFit="1" customWidth="1"/>
    <col min="5388" max="5388" width="13.42578125" style="63" bestFit="1" customWidth="1"/>
    <col min="5389" max="5632" width="11.42578125" style="63"/>
    <col min="5633" max="5633" width="9.140625" style="63" customWidth="1"/>
    <col min="5634" max="5635" width="11.42578125" style="63" customWidth="1"/>
    <col min="5636" max="5638" width="17.42578125" style="63" customWidth="1"/>
    <col min="5639" max="5639" width="11.42578125" style="63" customWidth="1"/>
    <col min="5640" max="5640" width="16" style="63" customWidth="1"/>
    <col min="5641" max="5642" width="0" style="63" hidden="1" customWidth="1"/>
    <col min="5643" max="5643" width="12.42578125" style="63" bestFit="1" customWidth="1"/>
    <col min="5644" max="5644" width="13.42578125" style="63" bestFit="1" customWidth="1"/>
    <col min="5645" max="5888" width="11.42578125" style="63"/>
    <col min="5889" max="5889" width="9.140625" style="63" customWidth="1"/>
    <col min="5890" max="5891" width="11.42578125" style="63" customWidth="1"/>
    <col min="5892" max="5894" width="17.42578125" style="63" customWidth="1"/>
    <col min="5895" max="5895" width="11.42578125" style="63" customWidth="1"/>
    <col min="5896" max="5896" width="16" style="63" customWidth="1"/>
    <col min="5897" max="5898" width="0" style="63" hidden="1" customWidth="1"/>
    <col min="5899" max="5899" width="12.42578125" style="63" bestFit="1" customWidth="1"/>
    <col min="5900" max="5900" width="13.42578125" style="63" bestFit="1" customWidth="1"/>
    <col min="5901" max="6144" width="11.42578125" style="63"/>
    <col min="6145" max="6145" width="9.140625" style="63" customWidth="1"/>
    <col min="6146" max="6147" width="11.42578125" style="63" customWidth="1"/>
    <col min="6148" max="6150" width="17.42578125" style="63" customWidth="1"/>
    <col min="6151" max="6151" width="11.42578125" style="63" customWidth="1"/>
    <col min="6152" max="6152" width="16" style="63" customWidth="1"/>
    <col min="6153" max="6154" width="0" style="63" hidden="1" customWidth="1"/>
    <col min="6155" max="6155" width="12.42578125" style="63" bestFit="1" customWidth="1"/>
    <col min="6156" max="6156" width="13.42578125" style="63" bestFit="1" customWidth="1"/>
    <col min="6157" max="6400" width="11.42578125" style="63"/>
    <col min="6401" max="6401" width="9.140625" style="63" customWidth="1"/>
    <col min="6402" max="6403" width="11.42578125" style="63" customWidth="1"/>
    <col min="6404" max="6406" width="17.42578125" style="63" customWidth="1"/>
    <col min="6407" max="6407" width="11.42578125" style="63" customWidth="1"/>
    <col min="6408" max="6408" width="16" style="63" customWidth="1"/>
    <col min="6409" max="6410" width="0" style="63" hidden="1" customWidth="1"/>
    <col min="6411" max="6411" width="12.42578125" style="63" bestFit="1" customWidth="1"/>
    <col min="6412" max="6412" width="13.42578125" style="63" bestFit="1" customWidth="1"/>
    <col min="6413" max="6656" width="11.42578125" style="63"/>
    <col min="6657" max="6657" width="9.140625" style="63" customWidth="1"/>
    <col min="6658" max="6659" width="11.42578125" style="63" customWidth="1"/>
    <col min="6660" max="6662" width="17.42578125" style="63" customWidth="1"/>
    <col min="6663" max="6663" width="11.42578125" style="63" customWidth="1"/>
    <col min="6664" max="6664" width="16" style="63" customWidth="1"/>
    <col min="6665" max="6666" width="0" style="63" hidden="1" customWidth="1"/>
    <col min="6667" max="6667" width="12.42578125" style="63" bestFit="1" customWidth="1"/>
    <col min="6668" max="6668" width="13.42578125" style="63" bestFit="1" customWidth="1"/>
    <col min="6669" max="6912" width="11.42578125" style="63"/>
    <col min="6913" max="6913" width="9.140625" style="63" customWidth="1"/>
    <col min="6914" max="6915" width="11.42578125" style="63" customWidth="1"/>
    <col min="6916" max="6918" width="17.42578125" style="63" customWidth="1"/>
    <col min="6919" max="6919" width="11.42578125" style="63" customWidth="1"/>
    <col min="6920" max="6920" width="16" style="63" customWidth="1"/>
    <col min="6921" max="6922" width="0" style="63" hidden="1" customWidth="1"/>
    <col min="6923" max="6923" width="12.42578125" style="63" bestFit="1" customWidth="1"/>
    <col min="6924" max="6924" width="13.42578125" style="63" bestFit="1" customWidth="1"/>
    <col min="6925" max="7168" width="11.42578125" style="63"/>
    <col min="7169" max="7169" width="9.140625" style="63" customWidth="1"/>
    <col min="7170" max="7171" width="11.42578125" style="63" customWidth="1"/>
    <col min="7172" max="7174" width="17.42578125" style="63" customWidth="1"/>
    <col min="7175" max="7175" width="11.42578125" style="63" customWidth="1"/>
    <col min="7176" max="7176" width="16" style="63" customWidth="1"/>
    <col min="7177" max="7178" width="0" style="63" hidden="1" customWidth="1"/>
    <col min="7179" max="7179" width="12.42578125" style="63" bestFit="1" customWidth="1"/>
    <col min="7180" max="7180" width="13.42578125" style="63" bestFit="1" customWidth="1"/>
    <col min="7181" max="7424" width="11.42578125" style="63"/>
    <col min="7425" max="7425" width="9.140625" style="63" customWidth="1"/>
    <col min="7426" max="7427" width="11.42578125" style="63" customWidth="1"/>
    <col min="7428" max="7430" width="17.42578125" style="63" customWidth="1"/>
    <col min="7431" max="7431" width="11.42578125" style="63" customWidth="1"/>
    <col min="7432" max="7432" width="16" style="63" customWidth="1"/>
    <col min="7433" max="7434" width="0" style="63" hidden="1" customWidth="1"/>
    <col min="7435" max="7435" width="12.42578125" style="63" bestFit="1" customWidth="1"/>
    <col min="7436" max="7436" width="13.42578125" style="63" bestFit="1" customWidth="1"/>
    <col min="7437" max="7680" width="11.42578125" style="63"/>
    <col min="7681" max="7681" width="9.140625" style="63" customWidth="1"/>
    <col min="7682" max="7683" width="11.42578125" style="63" customWidth="1"/>
    <col min="7684" max="7686" width="17.42578125" style="63" customWidth="1"/>
    <col min="7687" max="7687" width="11.42578125" style="63" customWidth="1"/>
    <col min="7688" max="7688" width="16" style="63" customWidth="1"/>
    <col min="7689" max="7690" width="0" style="63" hidden="1" customWidth="1"/>
    <col min="7691" max="7691" width="12.42578125" style="63" bestFit="1" customWidth="1"/>
    <col min="7692" max="7692" width="13.42578125" style="63" bestFit="1" customWidth="1"/>
    <col min="7693" max="7936" width="11.42578125" style="63"/>
    <col min="7937" max="7937" width="9.140625" style="63" customWidth="1"/>
    <col min="7938" max="7939" width="11.42578125" style="63" customWidth="1"/>
    <col min="7940" max="7942" width="17.42578125" style="63" customWidth="1"/>
    <col min="7943" max="7943" width="11.42578125" style="63" customWidth="1"/>
    <col min="7944" max="7944" width="16" style="63" customWidth="1"/>
    <col min="7945" max="7946" width="0" style="63" hidden="1" customWidth="1"/>
    <col min="7947" max="7947" width="12.42578125" style="63" bestFit="1" customWidth="1"/>
    <col min="7948" max="7948" width="13.42578125" style="63" bestFit="1" customWidth="1"/>
    <col min="7949" max="8192" width="11.42578125" style="63"/>
    <col min="8193" max="8193" width="9.140625" style="63" customWidth="1"/>
    <col min="8194" max="8195" width="11.42578125" style="63" customWidth="1"/>
    <col min="8196" max="8198" width="17.42578125" style="63" customWidth="1"/>
    <col min="8199" max="8199" width="11.42578125" style="63" customWidth="1"/>
    <col min="8200" max="8200" width="16" style="63" customWidth="1"/>
    <col min="8201" max="8202" width="0" style="63" hidden="1" customWidth="1"/>
    <col min="8203" max="8203" width="12.42578125" style="63" bestFit="1" customWidth="1"/>
    <col min="8204" max="8204" width="13.42578125" style="63" bestFit="1" customWidth="1"/>
    <col min="8205" max="8448" width="11.42578125" style="63"/>
    <col min="8449" max="8449" width="9.140625" style="63" customWidth="1"/>
    <col min="8450" max="8451" width="11.42578125" style="63" customWidth="1"/>
    <col min="8452" max="8454" width="17.42578125" style="63" customWidth="1"/>
    <col min="8455" max="8455" width="11.42578125" style="63" customWidth="1"/>
    <col min="8456" max="8456" width="16" style="63" customWidth="1"/>
    <col min="8457" max="8458" width="0" style="63" hidden="1" customWidth="1"/>
    <col min="8459" max="8459" width="12.42578125" style="63" bestFit="1" customWidth="1"/>
    <col min="8460" max="8460" width="13.42578125" style="63" bestFit="1" customWidth="1"/>
    <col min="8461" max="8704" width="11.42578125" style="63"/>
    <col min="8705" max="8705" width="9.140625" style="63" customWidth="1"/>
    <col min="8706" max="8707" width="11.42578125" style="63" customWidth="1"/>
    <col min="8708" max="8710" width="17.42578125" style="63" customWidth="1"/>
    <col min="8711" max="8711" width="11.42578125" style="63" customWidth="1"/>
    <col min="8712" max="8712" width="16" style="63" customWidth="1"/>
    <col min="8713" max="8714" width="0" style="63" hidden="1" customWidth="1"/>
    <col min="8715" max="8715" width="12.42578125" style="63" bestFit="1" customWidth="1"/>
    <col min="8716" max="8716" width="13.42578125" style="63" bestFit="1" customWidth="1"/>
    <col min="8717" max="8960" width="11.42578125" style="63"/>
    <col min="8961" max="8961" width="9.140625" style="63" customWidth="1"/>
    <col min="8962" max="8963" width="11.42578125" style="63" customWidth="1"/>
    <col min="8964" max="8966" width="17.42578125" style="63" customWidth="1"/>
    <col min="8967" max="8967" width="11.42578125" style="63" customWidth="1"/>
    <col min="8968" max="8968" width="16" style="63" customWidth="1"/>
    <col min="8969" max="8970" width="0" style="63" hidden="1" customWidth="1"/>
    <col min="8971" max="8971" width="12.42578125" style="63" bestFit="1" customWidth="1"/>
    <col min="8972" max="8972" width="13.42578125" style="63" bestFit="1" customWidth="1"/>
    <col min="8973" max="9216" width="11.42578125" style="63"/>
    <col min="9217" max="9217" width="9.140625" style="63" customWidth="1"/>
    <col min="9218" max="9219" width="11.42578125" style="63" customWidth="1"/>
    <col min="9220" max="9222" width="17.42578125" style="63" customWidth="1"/>
    <col min="9223" max="9223" width="11.42578125" style="63" customWidth="1"/>
    <col min="9224" max="9224" width="16" style="63" customWidth="1"/>
    <col min="9225" max="9226" width="0" style="63" hidden="1" customWidth="1"/>
    <col min="9227" max="9227" width="12.42578125" style="63" bestFit="1" customWidth="1"/>
    <col min="9228" max="9228" width="13.42578125" style="63" bestFit="1" customWidth="1"/>
    <col min="9229" max="9472" width="11.42578125" style="63"/>
    <col min="9473" max="9473" width="9.140625" style="63" customWidth="1"/>
    <col min="9474" max="9475" width="11.42578125" style="63" customWidth="1"/>
    <col min="9476" max="9478" width="17.42578125" style="63" customWidth="1"/>
    <col min="9479" max="9479" width="11.42578125" style="63" customWidth="1"/>
    <col min="9480" max="9480" width="16" style="63" customWidth="1"/>
    <col min="9481" max="9482" width="0" style="63" hidden="1" customWidth="1"/>
    <col min="9483" max="9483" width="12.42578125" style="63" bestFit="1" customWidth="1"/>
    <col min="9484" max="9484" width="13.42578125" style="63" bestFit="1" customWidth="1"/>
    <col min="9485" max="9728" width="11.42578125" style="63"/>
    <col min="9729" max="9729" width="9.140625" style="63" customWidth="1"/>
    <col min="9730" max="9731" width="11.42578125" style="63" customWidth="1"/>
    <col min="9732" max="9734" width="17.42578125" style="63" customWidth="1"/>
    <col min="9735" max="9735" width="11.42578125" style="63" customWidth="1"/>
    <col min="9736" max="9736" width="16" style="63" customWidth="1"/>
    <col min="9737" max="9738" width="0" style="63" hidden="1" customWidth="1"/>
    <col min="9739" max="9739" width="12.42578125" style="63" bestFit="1" customWidth="1"/>
    <col min="9740" max="9740" width="13.42578125" style="63" bestFit="1" customWidth="1"/>
    <col min="9741" max="9984" width="11.42578125" style="63"/>
    <col min="9985" max="9985" width="9.140625" style="63" customWidth="1"/>
    <col min="9986" max="9987" width="11.42578125" style="63" customWidth="1"/>
    <col min="9988" max="9990" width="17.42578125" style="63" customWidth="1"/>
    <col min="9991" max="9991" width="11.42578125" style="63" customWidth="1"/>
    <col min="9992" max="9992" width="16" style="63" customWidth="1"/>
    <col min="9993" max="9994" width="0" style="63" hidden="1" customWidth="1"/>
    <col min="9995" max="9995" width="12.42578125" style="63" bestFit="1" customWidth="1"/>
    <col min="9996" max="9996" width="13.42578125" style="63" bestFit="1" customWidth="1"/>
    <col min="9997" max="10240" width="11.42578125" style="63"/>
    <col min="10241" max="10241" width="9.140625" style="63" customWidth="1"/>
    <col min="10242" max="10243" width="11.42578125" style="63" customWidth="1"/>
    <col min="10244" max="10246" width="17.42578125" style="63" customWidth="1"/>
    <col min="10247" max="10247" width="11.42578125" style="63" customWidth="1"/>
    <col min="10248" max="10248" width="16" style="63" customWidth="1"/>
    <col min="10249" max="10250" width="0" style="63" hidden="1" customWidth="1"/>
    <col min="10251" max="10251" width="12.42578125" style="63" bestFit="1" customWidth="1"/>
    <col min="10252" max="10252" width="13.42578125" style="63" bestFit="1" customWidth="1"/>
    <col min="10253" max="10496" width="11.42578125" style="63"/>
    <col min="10497" max="10497" width="9.140625" style="63" customWidth="1"/>
    <col min="10498" max="10499" width="11.42578125" style="63" customWidth="1"/>
    <col min="10500" max="10502" width="17.42578125" style="63" customWidth="1"/>
    <col min="10503" max="10503" width="11.42578125" style="63" customWidth="1"/>
    <col min="10504" max="10504" width="16" style="63" customWidth="1"/>
    <col min="10505" max="10506" width="0" style="63" hidden="1" customWidth="1"/>
    <col min="10507" max="10507" width="12.42578125" style="63" bestFit="1" customWidth="1"/>
    <col min="10508" max="10508" width="13.42578125" style="63" bestFit="1" customWidth="1"/>
    <col min="10509" max="10752" width="11.42578125" style="63"/>
    <col min="10753" max="10753" width="9.140625" style="63" customWidth="1"/>
    <col min="10754" max="10755" width="11.42578125" style="63" customWidth="1"/>
    <col min="10756" max="10758" width="17.42578125" style="63" customWidth="1"/>
    <col min="10759" max="10759" width="11.42578125" style="63" customWidth="1"/>
    <col min="10760" max="10760" width="16" style="63" customWidth="1"/>
    <col min="10761" max="10762" width="0" style="63" hidden="1" customWidth="1"/>
    <col min="10763" max="10763" width="12.42578125" style="63" bestFit="1" customWidth="1"/>
    <col min="10764" max="10764" width="13.42578125" style="63" bestFit="1" customWidth="1"/>
    <col min="10765" max="11008" width="11.42578125" style="63"/>
    <col min="11009" max="11009" width="9.140625" style="63" customWidth="1"/>
    <col min="11010" max="11011" width="11.42578125" style="63" customWidth="1"/>
    <col min="11012" max="11014" width="17.42578125" style="63" customWidth="1"/>
    <col min="11015" max="11015" width="11.42578125" style="63" customWidth="1"/>
    <col min="11016" max="11016" width="16" style="63" customWidth="1"/>
    <col min="11017" max="11018" width="0" style="63" hidden="1" customWidth="1"/>
    <col min="11019" max="11019" width="12.42578125" style="63" bestFit="1" customWidth="1"/>
    <col min="11020" max="11020" width="13.42578125" style="63" bestFit="1" customWidth="1"/>
    <col min="11021" max="11264" width="11.42578125" style="63"/>
    <col min="11265" max="11265" width="9.140625" style="63" customWidth="1"/>
    <col min="11266" max="11267" width="11.42578125" style="63" customWidth="1"/>
    <col min="11268" max="11270" width="17.42578125" style="63" customWidth="1"/>
    <col min="11271" max="11271" width="11.42578125" style="63" customWidth="1"/>
    <col min="11272" max="11272" width="16" style="63" customWidth="1"/>
    <col min="11273" max="11274" width="0" style="63" hidden="1" customWidth="1"/>
    <col min="11275" max="11275" width="12.42578125" style="63" bestFit="1" customWidth="1"/>
    <col min="11276" max="11276" width="13.42578125" style="63" bestFit="1" customWidth="1"/>
    <col min="11277" max="11520" width="11.42578125" style="63"/>
    <col min="11521" max="11521" width="9.140625" style="63" customWidth="1"/>
    <col min="11522" max="11523" width="11.42578125" style="63" customWidth="1"/>
    <col min="11524" max="11526" width="17.42578125" style="63" customWidth="1"/>
    <col min="11527" max="11527" width="11.42578125" style="63" customWidth="1"/>
    <col min="11528" max="11528" width="16" style="63" customWidth="1"/>
    <col min="11529" max="11530" width="0" style="63" hidden="1" customWidth="1"/>
    <col min="11531" max="11531" width="12.42578125" style="63" bestFit="1" customWidth="1"/>
    <col min="11532" max="11532" width="13.42578125" style="63" bestFit="1" customWidth="1"/>
    <col min="11533" max="11776" width="11.42578125" style="63"/>
    <col min="11777" max="11777" width="9.140625" style="63" customWidth="1"/>
    <col min="11778" max="11779" width="11.42578125" style="63" customWidth="1"/>
    <col min="11780" max="11782" width="17.42578125" style="63" customWidth="1"/>
    <col min="11783" max="11783" width="11.42578125" style="63" customWidth="1"/>
    <col min="11784" max="11784" width="16" style="63" customWidth="1"/>
    <col min="11785" max="11786" width="0" style="63" hidden="1" customWidth="1"/>
    <col min="11787" max="11787" width="12.42578125" style="63" bestFit="1" customWidth="1"/>
    <col min="11788" max="11788" width="13.42578125" style="63" bestFit="1" customWidth="1"/>
    <col min="11789" max="12032" width="11.42578125" style="63"/>
    <col min="12033" max="12033" width="9.140625" style="63" customWidth="1"/>
    <col min="12034" max="12035" width="11.42578125" style="63" customWidth="1"/>
    <col min="12036" max="12038" width="17.42578125" style="63" customWidth="1"/>
    <col min="12039" max="12039" width="11.42578125" style="63" customWidth="1"/>
    <col min="12040" max="12040" width="16" style="63" customWidth="1"/>
    <col min="12041" max="12042" width="0" style="63" hidden="1" customWidth="1"/>
    <col min="12043" max="12043" width="12.42578125" style="63" bestFit="1" customWidth="1"/>
    <col min="12044" max="12044" width="13.42578125" style="63" bestFit="1" customWidth="1"/>
    <col min="12045" max="12288" width="11.42578125" style="63"/>
    <col min="12289" max="12289" width="9.140625" style="63" customWidth="1"/>
    <col min="12290" max="12291" width="11.42578125" style="63" customWidth="1"/>
    <col min="12292" max="12294" width="17.42578125" style="63" customWidth="1"/>
    <col min="12295" max="12295" width="11.42578125" style="63" customWidth="1"/>
    <col min="12296" max="12296" width="16" style="63" customWidth="1"/>
    <col min="12297" max="12298" width="0" style="63" hidden="1" customWidth="1"/>
    <col min="12299" max="12299" width="12.42578125" style="63" bestFit="1" customWidth="1"/>
    <col min="12300" max="12300" width="13.42578125" style="63" bestFit="1" customWidth="1"/>
    <col min="12301" max="12544" width="11.42578125" style="63"/>
    <col min="12545" max="12545" width="9.140625" style="63" customWidth="1"/>
    <col min="12546" max="12547" width="11.42578125" style="63" customWidth="1"/>
    <col min="12548" max="12550" width="17.42578125" style="63" customWidth="1"/>
    <col min="12551" max="12551" width="11.42578125" style="63" customWidth="1"/>
    <col min="12552" max="12552" width="16" style="63" customWidth="1"/>
    <col min="12553" max="12554" width="0" style="63" hidden="1" customWidth="1"/>
    <col min="12555" max="12555" width="12.42578125" style="63" bestFit="1" customWidth="1"/>
    <col min="12556" max="12556" width="13.42578125" style="63" bestFit="1" customWidth="1"/>
    <col min="12557" max="12800" width="11.42578125" style="63"/>
    <col min="12801" max="12801" width="9.140625" style="63" customWidth="1"/>
    <col min="12802" max="12803" width="11.42578125" style="63" customWidth="1"/>
    <col min="12804" max="12806" width="17.42578125" style="63" customWidth="1"/>
    <col min="12807" max="12807" width="11.42578125" style="63" customWidth="1"/>
    <col min="12808" max="12808" width="16" style="63" customWidth="1"/>
    <col min="12809" max="12810" width="0" style="63" hidden="1" customWidth="1"/>
    <col min="12811" max="12811" width="12.42578125" style="63" bestFit="1" customWidth="1"/>
    <col min="12812" max="12812" width="13.42578125" style="63" bestFit="1" customWidth="1"/>
    <col min="12813" max="13056" width="11.42578125" style="63"/>
    <col min="13057" max="13057" width="9.140625" style="63" customWidth="1"/>
    <col min="13058" max="13059" width="11.42578125" style="63" customWidth="1"/>
    <col min="13060" max="13062" width="17.42578125" style="63" customWidth="1"/>
    <col min="13063" max="13063" width="11.42578125" style="63" customWidth="1"/>
    <col min="13064" max="13064" width="16" style="63" customWidth="1"/>
    <col min="13065" max="13066" width="0" style="63" hidden="1" customWidth="1"/>
    <col min="13067" max="13067" width="12.42578125" style="63" bestFit="1" customWidth="1"/>
    <col min="13068" max="13068" width="13.42578125" style="63" bestFit="1" customWidth="1"/>
    <col min="13069" max="13312" width="11.42578125" style="63"/>
    <col min="13313" max="13313" width="9.140625" style="63" customWidth="1"/>
    <col min="13314" max="13315" width="11.42578125" style="63" customWidth="1"/>
    <col min="13316" max="13318" width="17.42578125" style="63" customWidth="1"/>
    <col min="13319" max="13319" width="11.42578125" style="63" customWidth="1"/>
    <col min="13320" max="13320" width="16" style="63" customWidth="1"/>
    <col min="13321" max="13322" width="0" style="63" hidden="1" customWidth="1"/>
    <col min="13323" max="13323" width="12.42578125" style="63" bestFit="1" customWidth="1"/>
    <col min="13324" max="13324" width="13.42578125" style="63" bestFit="1" customWidth="1"/>
    <col min="13325" max="13568" width="11.42578125" style="63"/>
    <col min="13569" max="13569" width="9.140625" style="63" customWidth="1"/>
    <col min="13570" max="13571" width="11.42578125" style="63" customWidth="1"/>
    <col min="13572" max="13574" width="17.42578125" style="63" customWidth="1"/>
    <col min="13575" max="13575" width="11.42578125" style="63" customWidth="1"/>
    <col min="13576" max="13576" width="16" style="63" customWidth="1"/>
    <col min="13577" max="13578" width="0" style="63" hidden="1" customWidth="1"/>
    <col min="13579" max="13579" width="12.42578125" style="63" bestFit="1" customWidth="1"/>
    <col min="13580" max="13580" width="13.42578125" style="63" bestFit="1" customWidth="1"/>
    <col min="13581" max="13824" width="11.42578125" style="63"/>
    <col min="13825" max="13825" width="9.140625" style="63" customWidth="1"/>
    <col min="13826" max="13827" width="11.42578125" style="63" customWidth="1"/>
    <col min="13828" max="13830" width="17.42578125" style="63" customWidth="1"/>
    <col min="13831" max="13831" width="11.42578125" style="63" customWidth="1"/>
    <col min="13832" max="13832" width="16" style="63" customWidth="1"/>
    <col min="13833" max="13834" width="0" style="63" hidden="1" customWidth="1"/>
    <col min="13835" max="13835" width="12.42578125" style="63" bestFit="1" customWidth="1"/>
    <col min="13836" max="13836" width="13.42578125" style="63" bestFit="1" customWidth="1"/>
    <col min="13837" max="14080" width="11.42578125" style="63"/>
    <col min="14081" max="14081" width="9.140625" style="63" customWidth="1"/>
    <col min="14082" max="14083" width="11.42578125" style="63" customWidth="1"/>
    <col min="14084" max="14086" width="17.42578125" style="63" customWidth="1"/>
    <col min="14087" max="14087" width="11.42578125" style="63" customWidth="1"/>
    <col min="14088" max="14088" width="16" style="63" customWidth="1"/>
    <col min="14089" max="14090" width="0" style="63" hidden="1" customWidth="1"/>
    <col min="14091" max="14091" width="12.42578125" style="63" bestFit="1" customWidth="1"/>
    <col min="14092" max="14092" width="13.42578125" style="63" bestFit="1" customWidth="1"/>
    <col min="14093" max="14336" width="11.42578125" style="63"/>
    <col min="14337" max="14337" width="9.140625" style="63" customWidth="1"/>
    <col min="14338" max="14339" width="11.42578125" style="63" customWidth="1"/>
    <col min="14340" max="14342" width="17.42578125" style="63" customWidth="1"/>
    <col min="14343" max="14343" width="11.42578125" style="63" customWidth="1"/>
    <col min="14344" max="14344" width="16" style="63" customWidth="1"/>
    <col min="14345" max="14346" width="0" style="63" hidden="1" customWidth="1"/>
    <col min="14347" max="14347" width="12.42578125" style="63" bestFit="1" customWidth="1"/>
    <col min="14348" max="14348" width="13.42578125" style="63" bestFit="1" customWidth="1"/>
    <col min="14349" max="14592" width="11.42578125" style="63"/>
    <col min="14593" max="14593" width="9.140625" style="63" customWidth="1"/>
    <col min="14594" max="14595" width="11.42578125" style="63" customWidth="1"/>
    <col min="14596" max="14598" width="17.42578125" style="63" customWidth="1"/>
    <col min="14599" max="14599" width="11.42578125" style="63" customWidth="1"/>
    <col min="14600" max="14600" width="16" style="63" customWidth="1"/>
    <col min="14601" max="14602" width="0" style="63" hidden="1" customWidth="1"/>
    <col min="14603" max="14603" width="12.42578125" style="63" bestFit="1" customWidth="1"/>
    <col min="14604" max="14604" width="13.42578125" style="63" bestFit="1" customWidth="1"/>
    <col min="14605" max="14848" width="11.42578125" style="63"/>
    <col min="14849" max="14849" width="9.140625" style="63" customWidth="1"/>
    <col min="14850" max="14851" width="11.42578125" style="63" customWidth="1"/>
    <col min="14852" max="14854" width="17.42578125" style="63" customWidth="1"/>
    <col min="14855" max="14855" width="11.42578125" style="63" customWidth="1"/>
    <col min="14856" max="14856" width="16" style="63" customWidth="1"/>
    <col min="14857" max="14858" width="0" style="63" hidden="1" customWidth="1"/>
    <col min="14859" max="14859" width="12.42578125" style="63" bestFit="1" customWidth="1"/>
    <col min="14860" max="14860" width="13.42578125" style="63" bestFit="1" customWidth="1"/>
    <col min="14861" max="15104" width="11.42578125" style="63"/>
    <col min="15105" max="15105" width="9.140625" style="63" customWidth="1"/>
    <col min="15106" max="15107" width="11.42578125" style="63" customWidth="1"/>
    <col min="15108" max="15110" width="17.42578125" style="63" customWidth="1"/>
    <col min="15111" max="15111" width="11.42578125" style="63" customWidth="1"/>
    <col min="15112" max="15112" width="16" style="63" customWidth="1"/>
    <col min="15113" max="15114" width="0" style="63" hidden="1" customWidth="1"/>
    <col min="15115" max="15115" width="12.42578125" style="63" bestFit="1" customWidth="1"/>
    <col min="15116" max="15116" width="13.42578125" style="63" bestFit="1" customWidth="1"/>
    <col min="15117" max="15360" width="11.42578125" style="63"/>
    <col min="15361" max="15361" width="9.140625" style="63" customWidth="1"/>
    <col min="15362" max="15363" width="11.42578125" style="63" customWidth="1"/>
    <col min="15364" max="15366" width="17.42578125" style="63" customWidth="1"/>
    <col min="15367" max="15367" width="11.42578125" style="63" customWidth="1"/>
    <col min="15368" max="15368" width="16" style="63" customWidth="1"/>
    <col min="15369" max="15370" width="0" style="63" hidden="1" customWidth="1"/>
    <col min="15371" max="15371" width="12.42578125" style="63" bestFit="1" customWidth="1"/>
    <col min="15372" max="15372" width="13.42578125" style="63" bestFit="1" customWidth="1"/>
    <col min="15373" max="15616" width="11.42578125" style="63"/>
    <col min="15617" max="15617" width="9.140625" style="63" customWidth="1"/>
    <col min="15618" max="15619" width="11.42578125" style="63" customWidth="1"/>
    <col min="15620" max="15622" width="17.42578125" style="63" customWidth="1"/>
    <col min="15623" max="15623" width="11.42578125" style="63" customWidth="1"/>
    <col min="15624" max="15624" width="16" style="63" customWidth="1"/>
    <col min="15625" max="15626" width="0" style="63" hidden="1" customWidth="1"/>
    <col min="15627" max="15627" width="12.42578125" style="63" bestFit="1" customWidth="1"/>
    <col min="15628" max="15628" width="13.42578125" style="63" bestFit="1" customWidth="1"/>
    <col min="15629" max="15872" width="11.42578125" style="63"/>
    <col min="15873" max="15873" width="9.140625" style="63" customWidth="1"/>
    <col min="15874" max="15875" width="11.42578125" style="63" customWidth="1"/>
    <col min="15876" max="15878" width="17.42578125" style="63" customWidth="1"/>
    <col min="15879" max="15879" width="11.42578125" style="63" customWidth="1"/>
    <col min="15880" max="15880" width="16" style="63" customWidth="1"/>
    <col min="15881" max="15882" width="0" style="63" hidden="1" customWidth="1"/>
    <col min="15883" max="15883" width="12.42578125" style="63" bestFit="1" customWidth="1"/>
    <col min="15884" max="15884" width="13.42578125" style="63" bestFit="1" customWidth="1"/>
    <col min="15885" max="16128" width="11.42578125" style="63"/>
    <col min="16129" max="16129" width="9.140625" style="63" customWidth="1"/>
    <col min="16130" max="16131" width="11.42578125" style="63" customWidth="1"/>
    <col min="16132" max="16134" width="17.42578125" style="63" customWidth="1"/>
    <col min="16135" max="16135" width="11.42578125" style="63" customWidth="1"/>
    <col min="16136" max="16136" width="16" style="63" customWidth="1"/>
    <col min="16137" max="16138" width="0" style="63" hidden="1" customWidth="1"/>
    <col min="16139" max="16139" width="12.42578125" style="63" bestFit="1" customWidth="1"/>
    <col min="16140" max="16140" width="13.42578125" style="63" bestFit="1" customWidth="1"/>
    <col min="16141" max="16384" width="11.42578125" style="63"/>
  </cols>
  <sheetData>
    <row r="1" spans="1:12" ht="20.25" x14ac:dyDescent="0.2">
      <c r="B1" s="232" t="s">
        <v>359</v>
      </c>
      <c r="C1" s="232"/>
      <c r="D1" s="232"/>
      <c r="E1" s="232"/>
      <c r="F1" s="232"/>
      <c r="G1" s="232"/>
      <c r="H1" s="232"/>
      <c r="I1" s="232"/>
      <c r="J1" s="232"/>
    </row>
    <row r="2" spans="1:12" ht="15.75" x14ac:dyDescent="0.25">
      <c r="B2" s="233" t="s">
        <v>360</v>
      </c>
      <c r="C2" s="234"/>
      <c r="D2" s="234"/>
      <c r="E2" s="234"/>
      <c r="F2" s="234"/>
      <c r="G2" s="234"/>
      <c r="H2" s="234"/>
      <c r="I2" s="234"/>
      <c r="J2" s="234"/>
    </row>
    <row r="3" spans="1:12" ht="15" x14ac:dyDescent="0.25">
      <c r="B3" s="235" t="s">
        <v>361</v>
      </c>
      <c r="C3" s="235"/>
      <c r="D3" s="235"/>
      <c r="E3" s="236" t="s">
        <v>362</v>
      </c>
      <c r="F3" s="237"/>
      <c r="G3" s="238" t="s">
        <v>363</v>
      </c>
      <c r="H3" s="235"/>
      <c r="I3" s="238" t="s">
        <v>364</v>
      </c>
      <c r="J3" s="235"/>
    </row>
    <row r="4" spans="1:12" x14ac:dyDescent="0.2">
      <c r="A4" s="75">
        <v>1000</v>
      </c>
      <c r="B4" s="239" t="s">
        <v>365</v>
      </c>
      <c r="C4" s="240"/>
      <c r="D4" s="240"/>
      <c r="E4" s="240"/>
      <c r="F4" s="240"/>
      <c r="G4" s="240"/>
      <c r="H4" s="240"/>
      <c r="I4" s="240"/>
      <c r="J4" s="241"/>
    </row>
    <row r="5" spans="1:12" x14ac:dyDescent="0.2">
      <c r="A5" s="76" t="s">
        <v>366</v>
      </c>
      <c r="B5" s="242" t="s">
        <v>367</v>
      </c>
      <c r="C5" s="243"/>
      <c r="D5" s="244"/>
      <c r="E5" s="77">
        <v>3000</v>
      </c>
      <c r="F5" s="78">
        <f>E5/$H$44</f>
        <v>8.25195984046211E-2</v>
      </c>
      <c r="G5" s="79">
        <v>300</v>
      </c>
      <c r="H5" s="78">
        <f>G5/$H$44</f>
        <v>8.2519598404621093E-3</v>
      </c>
      <c r="I5" s="79">
        <v>4082.01</v>
      </c>
      <c r="J5" s="78">
        <f>I5/$H$44</f>
        <v>0.1122819419612158</v>
      </c>
    </row>
    <row r="6" spans="1:12" x14ac:dyDescent="0.2">
      <c r="A6" s="75">
        <v>1100</v>
      </c>
      <c r="B6" s="239" t="s">
        <v>368</v>
      </c>
      <c r="C6" s="245"/>
      <c r="D6" s="245"/>
      <c r="E6" s="245"/>
      <c r="F6" s="245"/>
      <c r="G6" s="245"/>
      <c r="H6" s="245"/>
      <c r="I6" s="245"/>
      <c r="J6" s="246"/>
    </row>
    <row r="7" spans="1:12" x14ac:dyDescent="0.2">
      <c r="A7" s="75">
        <v>1101</v>
      </c>
      <c r="B7" s="247" t="s">
        <v>369</v>
      </c>
      <c r="C7" s="248"/>
      <c r="D7" s="248"/>
      <c r="E7" s="80">
        <v>14000</v>
      </c>
      <c r="F7" s="81">
        <f t="shared" ref="F7:F19" si="0">E7/$F$44</f>
        <v>0.24454148471615719</v>
      </c>
      <c r="G7" s="82">
        <v>13000</v>
      </c>
      <c r="H7" s="83">
        <f t="shared" ref="H7:H17" si="1">G7/$H$44</f>
        <v>0.35758492642002476</v>
      </c>
      <c r="I7" s="82">
        <v>15000</v>
      </c>
      <c r="J7" s="78">
        <f>I7/$H$44</f>
        <v>0.41259799202310549</v>
      </c>
    </row>
    <row r="8" spans="1:12" x14ac:dyDescent="0.2">
      <c r="A8" s="75"/>
      <c r="B8" s="242" t="s">
        <v>370</v>
      </c>
      <c r="C8" s="243"/>
      <c r="D8" s="244"/>
      <c r="E8" s="80">
        <v>4000</v>
      </c>
      <c r="F8" s="83">
        <f t="shared" si="0"/>
        <v>6.9868995633187769E-2</v>
      </c>
      <c r="G8" s="79">
        <v>0</v>
      </c>
      <c r="H8" s="83">
        <f t="shared" si="1"/>
        <v>0</v>
      </c>
      <c r="I8" s="82"/>
      <c r="J8" s="78"/>
    </row>
    <row r="9" spans="1:12" x14ac:dyDescent="0.2">
      <c r="A9" s="75">
        <v>1102</v>
      </c>
      <c r="B9" s="230" t="s">
        <v>371</v>
      </c>
      <c r="C9" s="231"/>
      <c r="D9" s="231"/>
      <c r="E9" s="80">
        <v>3000</v>
      </c>
      <c r="F9" s="83">
        <f t="shared" si="0"/>
        <v>5.2401746724890827E-2</v>
      </c>
      <c r="G9" s="79">
        <v>3190</v>
      </c>
      <c r="H9" s="83">
        <f t="shared" si="1"/>
        <v>8.7745839636913764E-2</v>
      </c>
      <c r="I9" s="79">
        <v>3700</v>
      </c>
      <c r="J9" s="78">
        <f>I9/$H$44</f>
        <v>0.10177417136569936</v>
      </c>
    </row>
    <row r="10" spans="1:12" x14ac:dyDescent="0.2">
      <c r="A10" s="75">
        <v>1103</v>
      </c>
      <c r="B10" s="242" t="s">
        <v>372</v>
      </c>
      <c r="C10" s="243"/>
      <c r="D10" s="244"/>
      <c r="E10" s="80">
        <v>3000</v>
      </c>
      <c r="F10" s="83">
        <f t="shared" si="0"/>
        <v>5.2401746724890827E-2</v>
      </c>
      <c r="G10" s="79">
        <v>0</v>
      </c>
      <c r="H10" s="83">
        <f t="shared" si="1"/>
        <v>0</v>
      </c>
      <c r="I10" s="79"/>
      <c r="J10" s="78"/>
      <c r="K10" s="84"/>
    </row>
    <row r="11" spans="1:12" x14ac:dyDescent="0.2">
      <c r="A11" s="75">
        <v>1112</v>
      </c>
      <c r="B11" s="242" t="s">
        <v>373</v>
      </c>
      <c r="C11" s="243"/>
      <c r="D11" s="244"/>
      <c r="E11" s="80">
        <v>2000</v>
      </c>
      <c r="F11" s="83">
        <f t="shared" si="0"/>
        <v>3.4934497816593885E-2</v>
      </c>
      <c r="G11" s="79">
        <v>2000</v>
      </c>
      <c r="H11" s="83">
        <f t="shared" si="1"/>
        <v>5.5013065603080731E-2</v>
      </c>
      <c r="I11" s="85"/>
      <c r="J11" s="78"/>
      <c r="K11" s="84"/>
    </row>
    <row r="12" spans="1:12" x14ac:dyDescent="0.2">
      <c r="A12" s="75">
        <v>1105</v>
      </c>
      <c r="B12" s="252" t="s">
        <v>374</v>
      </c>
      <c r="C12" s="253"/>
      <c r="D12" s="254"/>
      <c r="E12" s="80">
        <v>1000</v>
      </c>
      <c r="F12" s="83">
        <f t="shared" si="0"/>
        <v>1.7467248908296942E-2</v>
      </c>
      <c r="G12" s="79">
        <v>1500</v>
      </c>
      <c r="H12" s="83">
        <f t="shared" si="1"/>
        <v>4.125979920231055E-2</v>
      </c>
      <c r="I12" s="79"/>
      <c r="J12" s="78"/>
      <c r="K12" s="84"/>
    </row>
    <row r="13" spans="1:12" x14ac:dyDescent="0.2">
      <c r="A13" s="75">
        <v>1106</v>
      </c>
      <c r="B13" s="242" t="s">
        <v>375</v>
      </c>
      <c r="C13" s="243"/>
      <c r="D13" s="244"/>
      <c r="E13" s="80">
        <v>750</v>
      </c>
      <c r="F13" s="83">
        <f t="shared" si="0"/>
        <v>1.3100436681222707E-2</v>
      </c>
      <c r="G13" s="79">
        <v>600</v>
      </c>
      <c r="H13" s="83">
        <f t="shared" si="1"/>
        <v>1.6503919680924219E-2</v>
      </c>
      <c r="I13" s="79"/>
      <c r="J13" s="78"/>
      <c r="K13" s="84"/>
      <c r="L13" s="86">
        <f>F20-5000</f>
        <v>28450</v>
      </c>
    </row>
    <row r="14" spans="1:12" x14ac:dyDescent="0.2">
      <c r="A14" s="75">
        <v>1107</v>
      </c>
      <c r="B14" s="252" t="s">
        <v>376</v>
      </c>
      <c r="C14" s="253"/>
      <c r="D14" s="254"/>
      <c r="E14" s="80">
        <v>500</v>
      </c>
      <c r="F14" s="83">
        <f t="shared" si="0"/>
        <v>8.7336244541484712E-3</v>
      </c>
      <c r="G14" s="79">
        <v>500</v>
      </c>
      <c r="H14" s="83">
        <f t="shared" si="1"/>
        <v>1.3753266400770183E-2</v>
      </c>
      <c r="I14" s="79"/>
      <c r="J14" s="78"/>
    </row>
    <row r="15" spans="1:12" x14ac:dyDescent="0.2">
      <c r="A15" s="75">
        <v>1109</v>
      </c>
      <c r="B15" s="242" t="s">
        <v>377</v>
      </c>
      <c r="C15" s="243"/>
      <c r="D15" s="244"/>
      <c r="E15" s="80">
        <v>500</v>
      </c>
      <c r="F15" s="83">
        <f t="shared" si="0"/>
        <v>8.7336244541484712E-3</v>
      </c>
      <c r="G15" s="79">
        <v>500</v>
      </c>
      <c r="H15" s="83">
        <f t="shared" si="1"/>
        <v>1.3753266400770183E-2</v>
      </c>
      <c r="I15" s="85"/>
      <c r="J15" s="78"/>
    </row>
    <row r="16" spans="1:12" x14ac:dyDescent="0.2">
      <c r="A16" s="75">
        <v>1110</v>
      </c>
      <c r="B16" s="242" t="s">
        <v>378</v>
      </c>
      <c r="C16" s="243"/>
      <c r="D16" s="244"/>
      <c r="E16" s="80">
        <v>500</v>
      </c>
      <c r="F16" s="83">
        <f t="shared" si="0"/>
        <v>8.7336244541484712E-3</v>
      </c>
      <c r="G16" s="79">
        <v>500</v>
      </c>
      <c r="H16" s="83">
        <f t="shared" si="1"/>
        <v>1.3753266400770183E-2</v>
      </c>
      <c r="I16" s="85"/>
      <c r="J16" s="78"/>
      <c r="K16" s="84"/>
    </row>
    <row r="17" spans="1:14" x14ac:dyDescent="0.2">
      <c r="A17" s="75"/>
      <c r="B17" s="242" t="s">
        <v>379</v>
      </c>
      <c r="C17" s="243"/>
      <c r="D17" s="244"/>
      <c r="E17" s="80">
        <v>500</v>
      </c>
      <c r="F17" s="83">
        <f t="shared" si="0"/>
        <v>8.7336244541484712E-3</v>
      </c>
      <c r="G17" s="79">
        <v>2000</v>
      </c>
      <c r="H17" s="83">
        <f t="shared" si="1"/>
        <v>5.5013065603080731E-2</v>
      </c>
      <c r="I17" s="85"/>
      <c r="J17" s="78"/>
      <c r="K17" s="84"/>
    </row>
    <row r="18" spans="1:14" x14ac:dyDescent="0.2">
      <c r="A18" s="75">
        <v>1111</v>
      </c>
      <c r="B18" s="242" t="s">
        <v>380</v>
      </c>
      <c r="C18" s="243"/>
      <c r="D18" s="244"/>
      <c r="E18" s="80">
        <v>500</v>
      </c>
      <c r="F18" s="83">
        <f t="shared" si="0"/>
        <v>8.7336244541484712E-3</v>
      </c>
      <c r="G18" s="79"/>
      <c r="H18" s="83"/>
      <c r="I18" s="85"/>
      <c r="J18" s="78"/>
      <c r="K18" s="84"/>
    </row>
    <row r="19" spans="1:14" x14ac:dyDescent="0.2">
      <c r="A19" s="75">
        <v>1314</v>
      </c>
      <c r="B19" s="242" t="s">
        <v>381</v>
      </c>
      <c r="C19" s="243"/>
      <c r="D19" s="244"/>
      <c r="E19" s="80">
        <v>200</v>
      </c>
      <c r="F19" s="83">
        <f t="shared" si="0"/>
        <v>3.4934497816593887E-3</v>
      </c>
      <c r="G19" s="79">
        <v>200</v>
      </c>
      <c r="H19" s="83">
        <f>G19/$H$44</f>
        <v>5.5013065603080735E-3</v>
      </c>
      <c r="I19" s="85"/>
      <c r="J19" s="78"/>
    </row>
    <row r="20" spans="1:14" x14ac:dyDescent="0.2">
      <c r="A20" s="76" t="s">
        <v>382</v>
      </c>
      <c r="B20" s="252" t="s">
        <v>383</v>
      </c>
      <c r="C20" s="253"/>
      <c r="D20" s="253"/>
      <c r="F20" s="87">
        <f>SUM(E5:E19)</f>
        <v>33450</v>
      </c>
      <c r="G20" s="85"/>
      <c r="H20" s="87">
        <f>SUM(G7:G19)</f>
        <v>23990</v>
      </c>
      <c r="I20" s="79">
        <v>40</v>
      </c>
      <c r="J20" s="78">
        <f>I20/$H$44</f>
        <v>1.1002613120616146E-3</v>
      </c>
      <c r="L20" s="88"/>
    </row>
    <row r="21" spans="1:14" x14ac:dyDescent="0.2">
      <c r="A21" s="75">
        <v>1200</v>
      </c>
      <c r="B21" s="89" t="s">
        <v>384</v>
      </c>
      <c r="C21" s="90"/>
      <c r="D21" s="90"/>
      <c r="E21" s="90"/>
      <c r="F21" s="90"/>
      <c r="G21" s="90"/>
      <c r="H21" s="90"/>
      <c r="I21" s="79"/>
      <c r="J21" s="78"/>
      <c r="L21" s="88"/>
    </row>
    <row r="22" spans="1:14" x14ac:dyDescent="0.2">
      <c r="A22" s="75">
        <v>1201</v>
      </c>
      <c r="B22" s="249" t="s">
        <v>385</v>
      </c>
      <c r="C22" s="250"/>
      <c r="D22" s="251"/>
      <c r="E22" s="91">
        <v>300</v>
      </c>
      <c r="F22" s="83">
        <f>E22/$F$44</f>
        <v>5.2401746724890829E-3</v>
      </c>
      <c r="G22" s="92">
        <v>235</v>
      </c>
      <c r="H22" s="83">
        <f>G22/$H$44</f>
        <v>6.4640352083619856E-3</v>
      </c>
      <c r="I22" s="79">
        <v>100.8</v>
      </c>
      <c r="J22" s="78">
        <f>I22/$H$44</f>
        <v>2.7726585063952689E-3</v>
      </c>
      <c r="L22" s="84"/>
      <c r="N22" s="88"/>
    </row>
    <row r="23" spans="1:14" ht="15" x14ac:dyDescent="0.25">
      <c r="A23" s="75">
        <v>1202</v>
      </c>
      <c r="B23" s="249" t="s">
        <v>386</v>
      </c>
      <c r="C23" s="250"/>
      <c r="D23" s="251"/>
      <c r="E23" s="93">
        <v>100</v>
      </c>
      <c r="F23" s="83">
        <f>E23/$F$44</f>
        <v>1.7467248908296944E-3</v>
      </c>
      <c r="G23" s="94">
        <v>250</v>
      </c>
      <c r="H23" s="83">
        <f>G23/$H$44</f>
        <v>6.8766332003850914E-3</v>
      </c>
      <c r="I23" s="95"/>
      <c r="J23" s="87">
        <f>SUM(I20:I22)</f>
        <v>140.80000000000001</v>
      </c>
      <c r="K23" s="84"/>
      <c r="L23" s="96"/>
    </row>
    <row r="24" spans="1:14" ht="15" x14ac:dyDescent="0.25">
      <c r="A24" s="75"/>
      <c r="B24" s="249" t="s">
        <v>387</v>
      </c>
      <c r="C24" s="250"/>
      <c r="D24" s="251"/>
      <c r="E24" s="93">
        <v>200</v>
      </c>
      <c r="F24" s="83">
        <f>E24/$F$44</f>
        <v>3.4934497816593887E-3</v>
      </c>
      <c r="G24" s="94">
        <v>0</v>
      </c>
      <c r="H24" s="83">
        <f>G24/$H$44</f>
        <v>0</v>
      </c>
      <c r="I24" s="90"/>
      <c r="J24" s="97"/>
      <c r="K24" s="84"/>
      <c r="L24" s="96"/>
    </row>
    <row r="25" spans="1:14" ht="15" x14ac:dyDescent="0.25">
      <c r="A25" s="75">
        <v>1203</v>
      </c>
      <c r="B25" s="252" t="s">
        <v>388</v>
      </c>
      <c r="C25" s="253"/>
      <c r="D25" s="254"/>
      <c r="E25" s="80">
        <v>200</v>
      </c>
      <c r="F25" s="83">
        <f>E25/$F$44</f>
        <v>3.4934497816593887E-3</v>
      </c>
      <c r="G25" s="79">
        <f>135+82.5+112.5</f>
        <v>330</v>
      </c>
      <c r="H25" s="83">
        <f>G25/$H$44</f>
        <v>9.0771558245083209E-3</v>
      </c>
      <c r="I25" s="90"/>
      <c r="J25" s="98"/>
      <c r="K25" s="84"/>
      <c r="L25" s="96"/>
    </row>
    <row r="26" spans="1:14" ht="15" x14ac:dyDescent="0.25">
      <c r="A26" s="76" t="s">
        <v>389</v>
      </c>
      <c r="B26" s="252" t="s">
        <v>383</v>
      </c>
      <c r="C26" s="253"/>
      <c r="D26" s="253"/>
      <c r="F26" s="87">
        <f>SUM(E22:E25)</f>
        <v>800</v>
      </c>
      <c r="G26" s="85"/>
      <c r="H26" s="87">
        <f>SUM(G22:G25)</f>
        <v>815</v>
      </c>
      <c r="I26" s="79">
        <v>5000</v>
      </c>
      <c r="J26" s="78">
        <f>I26/$H$44</f>
        <v>0.13753266400770184</v>
      </c>
      <c r="L26" s="96"/>
    </row>
    <row r="27" spans="1:14" ht="15" x14ac:dyDescent="0.25">
      <c r="A27" s="75">
        <v>1300</v>
      </c>
      <c r="B27" s="89" t="s">
        <v>390</v>
      </c>
      <c r="C27" s="90"/>
      <c r="D27" s="90"/>
      <c r="E27" s="90"/>
      <c r="F27" s="90"/>
      <c r="G27" s="90"/>
      <c r="H27" s="90"/>
      <c r="I27" s="79"/>
      <c r="J27" s="78"/>
      <c r="L27" s="96"/>
    </row>
    <row r="28" spans="1:14" ht="15" x14ac:dyDescent="0.25">
      <c r="A28" s="75">
        <v>1301</v>
      </c>
      <c r="B28" s="255" t="s">
        <v>391</v>
      </c>
      <c r="C28" s="256"/>
      <c r="D28" s="257"/>
      <c r="E28" s="99">
        <v>5000</v>
      </c>
      <c r="F28" s="83">
        <f t="shared" ref="F28:F37" si="2">E28/$F$44</f>
        <v>8.7336244541484712E-2</v>
      </c>
      <c r="G28" s="100">
        <v>0</v>
      </c>
      <c r="H28" s="83">
        <f t="shared" ref="H28:H37" si="3">G28/$H$44</f>
        <v>0</v>
      </c>
      <c r="I28" s="79">
        <v>2000</v>
      </c>
      <c r="J28" s="78">
        <f>I28/$H$44</f>
        <v>5.5013065603080731E-2</v>
      </c>
      <c r="K28" s="84"/>
      <c r="L28" s="96"/>
    </row>
    <row r="29" spans="1:14" ht="15" x14ac:dyDescent="0.25">
      <c r="A29" s="75">
        <v>1302</v>
      </c>
      <c r="B29" s="252" t="s">
        <v>392</v>
      </c>
      <c r="C29" s="253"/>
      <c r="D29" s="254"/>
      <c r="E29" s="80">
        <v>3000</v>
      </c>
      <c r="F29" s="83">
        <f t="shared" si="2"/>
        <v>5.2401746724890827E-2</v>
      </c>
      <c r="G29" s="82">
        <v>3000</v>
      </c>
      <c r="H29" s="83">
        <f t="shared" si="3"/>
        <v>8.25195984046211E-2</v>
      </c>
      <c r="I29" s="79"/>
      <c r="J29" s="78"/>
      <c r="K29" s="84"/>
      <c r="L29" s="96"/>
    </row>
    <row r="30" spans="1:14" ht="12.75" customHeight="1" x14ac:dyDescent="0.2">
      <c r="A30" s="75">
        <v>1303</v>
      </c>
      <c r="B30" s="242" t="s">
        <v>393</v>
      </c>
      <c r="C30" s="253"/>
      <c r="D30" s="254"/>
      <c r="E30" s="101">
        <v>4000</v>
      </c>
      <c r="F30" s="83">
        <f t="shared" si="2"/>
        <v>6.9868995633187769E-2</v>
      </c>
      <c r="G30" s="82">
        <v>3000</v>
      </c>
      <c r="H30" s="83">
        <f t="shared" si="3"/>
        <v>8.25195984046211E-2</v>
      </c>
      <c r="I30" s="79"/>
      <c r="J30" s="78"/>
      <c r="K30" s="84"/>
    </row>
    <row r="31" spans="1:14" x14ac:dyDescent="0.2">
      <c r="A31" s="75">
        <v>1304</v>
      </c>
      <c r="B31" s="242" t="s">
        <v>394</v>
      </c>
      <c r="C31" s="243"/>
      <c r="D31" s="244"/>
      <c r="E31" s="101">
        <v>2000</v>
      </c>
      <c r="F31" s="83">
        <f t="shared" si="2"/>
        <v>3.4934497816593885E-2</v>
      </c>
      <c r="G31" s="79">
        <v>1500</v>
      </c>
      <c r="H31" s="83">
        <f t="shared" si="3"/>
        <v>4.125979920231055E-2</v>
      </c>
      <c r="I31" s="79">
        <v>0</v>
      </c>
      <c r="J31" s="78">
        <f>I31/$H$44</f>
        <v>0</v>
      </c>
      <c r="K31" s="84"/>
    </row>
    <row r="32" spans="1:14" x14ac:dyDescent="0.2">
      <c r="A32" s="75">
        <v>1305</v>
      </c>
      <c r="B32" s="242" t="s">
        <v>395</v>
      </c>
      <c r="C32" s="243"/>
      <c r="D32" s="244"/>
      <c r="E32" s="101">
        <v>2000</v>
      </c>
      <c r="F32" s="83">
        <f t="shared" si="2"/>
        <v>3.4934497816593885E-2</v>
      </c>
      <c r="G32" s="79">
        <v>2000</v>
      </c>
      <c r="H32" s="83">
        <f t="shared" si="3"/>
        <v>5.5013065603080731E-2</v>
      </c>
      <c r="I32" s="79"/>
      <c r="J32" s="78"/>
      <c r="K32" s="84"/>
    </row>
    <row r="33" spans="1:12" x14ac:dyDescent="0.2">
      <c r="A33" s="75">
        <v>1306</v>
      </c>
      <c r="B33" s="252" t="s">
        <v>396</v>
      </c>
      <c r="C33" s="253"/>
      <c r="D33" s="254"/>
      <c r="E33" s="80">
        <v>1000</v>
      </c>
      <c r="F33" s="83">
        <f t="shared" si="2"/>
        <v>1.7467248908296942E-2</v>
      </c>
      <c r="G33" s="79">
        <v>0</v>
      </c>
      <c r="H33" s="83">
        <f t="shared" si="3"/>
        <v>0</v>
      </c>
      <c r="I33" s="79">
        <v>0</v>
      </c>
      <c r="J33" s="78">
        <f>I33/$H$44</f>
        <v>0</v>
      </c>
      <c r="K33" s="84"/>
    </row>
    <row r="34" spans="1:12" x14ac:dyDescent="0.2">
      <c r="A34" s="75">
        <v>1307</v>
      </c>
      <c r="B34" s="252" t="s">
        <v>397</v>
      </c>
      <c r="C34" s="253"/>
      <c r="D34" s="254"/>
      <c r="E34" s="80">
        <v>800</v>
      </c>
      <c r="F34" s="83">
        <f t="shared" si="2"/>
        <v>1.3973799126637555E-2</v>
      </c>
      <c r="G34" s="79">
        <v>0</v>
      </c>
      <c r="H34" s="83">
        <f t="shared" si="3"/>
        <v>0</v>
      </c>
      <c r="I34" s="79">
        <v>0</v>
      </c>
      <c r="J34" s="78">
        <f>I34/$H$44</f>
        <v>0</v>
      </c>
    </row>
    <row r="35" spans="1:12" x14ac:dyDescent="0.2">
      <c r="A35" s="75">
        <v>1308</v>
      </c>
      <c r="B35" s="242" t="s">
        <v>398</v>
      </c>
      <c r="C35" s="243"/>
      <c r="D35" s="244"/>
      <c r="E35" s="80">
        <v>700</v>
      </c>
      <c r="F35" s="83">
        <f t="shared" si="2"/>
        <v>1.222707423580786E-2</v>
      </c>
      <c r="G35" s="79">
        <v>700</v>
      </c>
      <c r="H35" s="83">
        <f t="shared" si="3"/>
        <v>1.9254572961078256E-2</v>
      </c>
      <c r="I35" s="79"/>
      <c r="J35" s="78"/>
      <c r="K35" s="84"/>
    </row>
    <row r="36" spans="1:12" x14ac:dyDescent="0.2">
      <c r="A36" s="75">
        <v>1309</v>
      </c>
      <c r="B36" s="242" t="s">
        <v>399</v>
      </c>
      <c r="C36" s="243"/>
      <c r="D36" s="244"/>
      <c r="E36" s="80">
        <v>450</v>
      </c>
      <c r="F36" s="83">
        <f t="shared" si="2"/>
        <v>7.8602620087336247E-3</v>
      </c>
      <c r="G36" s="79">
        <v>450</v>
      </c>
      <c r="H36" s="83">
        <f t="shared" si="3"/>
        <v>1.2377939760693164E-2</v>
      </c>
      <c r="I36" s="79">
        <v>0</v>
      </c>
      <c r="J36" s="78">
        <f>I36/$H$44</f>
        <v>0</v>
      </c>
      <c r="K36" s="84"/>
    </row>
    <row r="37" spans="1:12" x14ac:dyDescent="0.2">
      <c r="A37" s="75">
        <v>1310</v>
      </c>
      <c r="B37" s="242" t="s">
        <v>400</v>
      </c>
      <c r="C37" s="243"/>
      <c r="D37" s="244"/>
      <c r="E37" s="80">
        <v>300</v>
      </c>
      <c r="F37" s="83">
        <f t="shared" si="2"/>
        <v>5.2401746724890829E-3</v>
      </c>
      <c r="G37" s="79">
        <v>300</v>
      </c>
      <c r="H37" s="83">
        <f t="shared" si="3"/>
        <v>8.2519598404621093E-3</v>
      </c>
      <c r="I37" s="85"/>
      <c r="J37" s="102"/>
    </row>
    <row r="38" spans="1:12" x14ac:dyDescent="0.2">
      <c r="A38" s="75">
        <v>1311</v>
      </c>
      <c r="B38" s="242" t="s">
        <v>401</v>
      </c>
      <c r="C38" s="243"/>
      <c r="D38" s="244"/>
      <c r="E38" s="80">
        <v>300</v>
      </c>
      <c r="F38" s="83">
        <v>0.01</v>
      </c>
      <c r="G38" s="79">
        <v>300</v>
      </c>
      <c r="H38" s="83">
        <v>0</v>
      </c>
      <c r="I38" s="85"/>
      <c r="J38" s="102"/>
    </row>
    <row r="39" spans="1:12" x14ac:dyDescent="0.2">
      <c r="A39" s="75">
        <v>1312</v>
      </c>
      <c r="B39" s="242" t="s">
        <v>402</v>
      </c>
      <c r="C39" s="243"/>
      <c r="D39" s="244"/>
      <c r="E39" s="80">
        <v>150</v>
      </c>
      <c r="F39" s="83">
        <v>0</v>
      </c>
      <c r="G39" s="79">
        <v>0</v>
      </c>
      <c r="H39" s="83">
        <v>0</v>
      </c>
      <c r="I39" s="85"/>
      <c r="J39" s="103">
        <f>SUM(I26:I31)</f>
        <v>7000</v>
      </c>
      <c r="K39" s="84"/>
    </row>
    <row r="40" spans="1:12" x14ac:dyDescent="0.2">
      <c r="A40" s="75">
        <v>1313</v>
      </c>
      <c r="B40" s="242" t="s">
        <v>403</v>
      </c>
      <c r="C40" s="243"/>
      <c r="D40" s="244"/>
      <c r="E40" s="80">
        <v>150</v>
      </c>
      <c r="F40" s="83">
        <v>0</v>
      </c>
      <c r="G40" s="79">
        <v>0</v>
      </c>
      <c r="H40" s="83">
        <v>0</v>
      </c>
      <c r="I40" s="85"/>
      <c r="J40" s="85"/>
      <c r="K40" s="84"/>
      <c r="L40" s="88"/>
    </row>
    <row r="41" spans="1:12" ht="13.5" thickBot="1" x14ac:dyDescent="0.25">
      <c r="A41" s="75">
        <v>1314</v>
      </c>
      <c r="B41" s="242" t="s">
        <v>404</v>
      </c>
      <c r="C41" s="243"/>
      <c r="D41" s="244"/>
      <c r="E41" s="80">
        <v>150</v>
      </c>
      <c r="F41" s="83">
        <v>0</v>
      </c>
      <c r="G41" s="79">
        <v>0</v>
      </c>
      <c r="H41" s="83">
        <v>0</v>
      </c>
      <c r="I41" s="95"/>
      <c r="J41" s="104" t="e">
        <f>SUM(I5,#REF!,J23,J39)</f>
        <v>#REF!</v>
      </c>
      <c r="K41" s="84"/>
      <c r="L41" s="88"/>
    </row>
    <row r="42" spans="1:12" ht="13.5" thickTop="1" x14ac:dyDescent="0.2">
      <c r="A42" s="76" t="s">
        <v>405</v>
      </c>
      <c r="B42" s="252" t="s">
        <v>383</v>
      </c>
      <c r="C42" s="253"/>
      <c r="D42" s="253"/>
      <c r="E42" s="105"/>
      <c r="F42" s="103">
        <f>SUM(E28:E41)</f>
        <v>20000</v>
      </c>
      <c r="G42" s="106"/>
      <c r="H42" s="103">
        <f>SUM(G28:G38)</f>
        <v>11250</v>
      </c>
    </row>
    <row r="43" spans="1:12" x14ac:dyDescent="0.2">
      <c r="A43" s="76"/>
      <c r="B43" s="85"/>
      <c r="C43" s="85"/>
      <c r="D43" s="85"/>
      <c r="E43" s="85"/>
      <c r="F43" s="85"/>
      <c r="G43" s="85"/>
      <c r="H43" s="85"/>
    </row>
    <row r="44" spans="1:12" ht="16.5" thickBot="1" x14ac:dyDescent="0.3">
      <c r="B44" s="107" t="s">
        <v>406</v>
      </c>
      <c r="C44" s="233" t="s">
        <v>407</v>
      </c>
      <c r="D44" s="233"/>
      <c r="E44" s="108"/>
      <c r="F44" s="104">
        <f>SUM(E5,F20,F26,F42)</f>
        <v>57250</v>
      </c>
      <c r="G44" s="108"/>
      <c r="H44" s="104">
        <f>SUM(G5,H20,H26,H42)</f>
        <v>36355</v>
      </c>
    </row>
    <row r="45" spans="1:12" ht="13.5" thickTop="1" x14ac:dyDescent="0.2"/>
    <row r="46" spans="1:12" x14ac:dyDescent="0.2">
      <c r="H46" s="88">
        <f>F44-F42</f>
        <v>37250</v>
      </c>
    </row>
    <row r="47" spans="1:12" x14ac:dyDescent="0.2">
      <c r="H47" s="109">
        <f>H44-dépenses!J110</f>
        <v>-8505</v>
      </c>
    </row>
    <row r="49" spans="8:8" x14ac:dyDescent="0.2">
      <c r="H49" s="110"/>
    </row>
  </sheetData>
  <mergeCells count="44">
    <mergeCell ref="B42:D42"/>
    <mergeCell ref="C44:D44"/>
    <mergeCell ref="B36:D36"/>
    <mergeCell ref="B37:D37"/>
    <mergeCell ref="B38:D38"/>
    <mergeCell ref="B39:D39"/>
    <mergeCell ref="B40:D40"/>
    <mergeCell ref="B41:D41"/>
    <mergeCell ref="B35:D35"/>
    <mergeCell ref="B23:D23"/>
    <mergeCell ref="B24:D24"/>
    <mergeCell ref="B25:D25"/>
    <mergeCell ref="B26:D26"/>
    <mergeCell ref="B28:D28"/>
    <mergeCell ref="B29:D29"/>
    <mergeCell ref="B30:D30"/>
    <mergeCell ref="B31:D31"/>
    <mergeCell ref="B32:D32"/>
    <mergeCell ref="B33:D33"/>
    <mergeCell ref="B34:D34"/>
    <mergeCell ref="B22:D22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B1:J1"/>
    <mergeCell ref="B2:J2"/>
    <mergeCell ref="B3:D3"/>
    <mergeCell ref="E3:F3"/>
    <mergeCell ref="G3:H3"/>
    <mergeCell ref="I3:J3"/>
    <mergeCell ref="B4:J4"/>
    <mergeCell ref="B5:D5"/>
    <mergeCell ref="B6:J6"/>
    <mergeCell ref="B7:D7"/>
    <mergeCell ref="B8:D8"/>
  </mergeCells>
  <pageMargins left="0.78740157499999996" right="0.78740157499999996" top="0.984251969" bottom="0.984251969" header="0.4921259845" footer="0.4921259845"/>
  <pageSetup scale="79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92D050"/>
  </sheetPr>
  <dimension ref="A1:AA120"/>
  <sheetViews>
    <sheetView showGridLines="0" topLeftCell="A96" zoomScale="120" zoomScaleNormal="120" zoomScalePageLayoutView="25" workbookViewId="0">
      <selection activeCell="K26" sqref="K26"/>
    </sheetView>
  </sheetViews>
  <sheetFormatPr baseColWidth="10" defaultRowHeight="12.75" x14ac:dyDescent="0.2"/>
  <cols>
    <col min="1" max="1" width="7.140625" style="75" customWidth="1"/>
    <col min="2" max="3" width="11.42578125" style="63" customWidth="1"/>
    <col min="4" max="4" width="21" style="63" customWidth="1"/>
    <col min="5" max="5" width="10.5703125" style="70" bestFit="1" customWidth="1"/>
    <col min="6" max="6" width="12.140625" style="70" customWidth="1"/>
    <col min="7" max="7" width="9.140625" style="70" customWidth="1"/>
    <col min="8" max="8" width="11.7109375" style="70" customWidth="1"/>
    <col min="9" max="9" width="9.140625" style="63" customWidth="1"/>
    <col min="10" max="10" width="11.85546875" style="63" bestFit="1" customWidth="1"/>
    <col min="11" max="11" width="9.140625" style="63" customWidth="1"/>
    <col min="12" max="12" width="12.28515625" style="63" bestFit="1" customWidth="1"/>
    <col min="13" max="13" width="27.140625" style="63" bestFit="1" customWidth="1"/>
    <col min="14" max="27" width="4.85546875" style="63" customWidth="1"/>
    <col min="28" max="256" width="11.42578125" style="63"/>
    <col min="257" max="257" width="7.140625" style="63" customWidth="1"/>
    <col min="258" max="259" width="11.42578125" style="63" customWidth="1"/>
    <col min="260" max="260" width="21" style="63" customWidth="1"/>
    <col min="261" max="261" width="9.140625" style="63" customWidth="1"/>
    <col min="262" max="262" width="13.42578125" style="63" customWidth="1"/>
    <col min="263" max="263" width="9.140625" style="63" customWidth="1"/>
    <col min="264" max="264" width="13.7109375" style="63" customWidth="1"/>
    <col min="265" max="267" width="9.140625" style="63" customWidth="1"/>
    <col min="268" max="268" width="12.28515625" style="63" bestFit="1" customWidth="1"/>
    <col min="269" max="512" width="11.42578125" style="63"/>
    <col min="513" max="513" width="7.140625" style="63" customWidth="1"/>
    <col min="514" max="515" width="11.42578125" style="63" customWidth="1"/>
    <col min="516" max="516" width="21" style="63" customWidth="1"/>
    <col min="517" max="517" width="9.140625" style="63" customWidth="1"/>
    <col min="518" max="518" width="13.42578125" style="63" customWidth="1"/>
    <col min="519" max="519" width="9.140625" style="63" customWidth="1"/>
    <col min="520" max="520" width="13.7109375" style="63" customWidth="1"/>
    <col min="521" max="523" width="9.140625" style="63" customWidth="1"/>
    <col min="524" max="524" width="12.28515625" style="63" bestFit="1" customWidth="1"/>
    <col min="525" max="768" width="11.42578125" style="63"/>
    <col min="769" max="769" width="7.140625" style="63" customWidth="1"/>
    <col min="770" max="771" width="11.42578125" style="63" customWidth="1"/>
    <col min="772" max="772" width="21" style="63" customWidth="1"/>
    <col min="773" max="773" width="9.140625" style="63" customWidth="1"/>
    <col min="774" max="774" width="13.42578125" style="63" customWidth="1"/>
    <col min="775" max="775" width="9.140625" style="63" customWidth="1"/>
    <col min="776" max="776" width="13.7109375" style="63" customWidth="1"/>
    <col min="777" max="779" width="9.140625" style="63" customWidth="1"/>
    <col min="780" max="780" width="12.28515625" style="63" bestFit="1" customWidth="1"/>
    <col min="781" max="1024" width="11.42578125" style="63"/>
    <col min="1025" max="1025" width="7.140625" style="63" customWidth="1"/>
    <col min="1026" max="1027" width="11.42578125" style="63" customWidth="1"/>
    <col min="1028" max="1028" width="21" style="63" customWidth="1"/>
    <col min="1029" max="1029" width="9.140625" style="63" customWidth="1"/>
    <col min="1030" max="1030" width="13.42578125" style="63" customWidth="1"/>
    <col min="1031" max="1031" width="9.140625" style="63" customWidth="1"/>
    <col min="1032" max="1032" width="13.7109375" style="63" customWidth="1"/>
    <col min="1033" max="1035" width="9.140625" style="63" customWidth="1"/>
    <col min="1036" max="1036" width="12.28515625" style="63" bestFit="1" customWidth="1"/>
    <col min="1037" max="1280" width="11.42578125" style="63"/>
    <col min="1281" max="1281" width="7.140625" style="63" customWidth="1"/>
    <col min="1282" max="1283" width="11.42578125" style="63" customWidth="1"/>
    <col min="1284" max="1284" width="21" style="63" customWidth="1"/>
    <col min="1285" max="1285" width="9.140625" style="63" customWidth="1"/>
    <col min="1286" max="1286" width="13.42578125" style="63" customWidth="1"/>
    <col min="1287" max="1287" width="9.140625" style="63" customWidth="1"/>
    <col min="1288" max="1288" width="13.7109375" style="63" customWidth="1"/>
    <col min="1289" max="1291" width="9.140625" style="63" customWidth="1"/>
    <col min="1292" max="1292" width="12.28515625" style="63" bestFit="1" customWidth="1"/>
    <col min="1293" max="1536" width="11.42578125" style="63"/>
    <col min="1537" max="1537" width="7.140625" style="63" customWidth="1"/>
    <col min="1538" max="1539" width="11.42578125" style="63" customWidth="1"/>
    <col min="1540" max="1540" width="21" style="63" customWidth="1"/>
    <col min="1541" max="1541" width="9.140625" style="63" customWidth="1"/>
    <col min="1542" max="1542" width="13.42578125" style="63" customWidth="1"/>
    <col min="1543" max="1543" width="9.140625" style="63" customWidth="1"/>
    <col min="1544" max="1544" width="13.7109375" style="63" customWidth="1"/>
    <col min="1545" max="1547" width="9.140625" style="63" customWidth="1"/>
    <col min="1548" max="1548" width="12.28515625" style="63" bestFit="1" customWidth="1"/>
    <col min="1549" max="1792" width="11.42578125" style="63"/>
    <col min="1793" max="1793" width="7.140625" style="63" customWidth="1"/>
    <col min="1794" max="1795" width="11.42578125" style="63" customWidth="1"/>
    <col min="1796" max="1796" width="21" style="63" customWidth="1"/>
    <col min="1797" max="1797" width="9.140625" style="63" customWidth="1"/>
    <col min="1798" max="1798" width="13.42578125" style="63" customWidth="1"/>
    <col min="1799" max="1799" width="9.140625" style="63" customWidth="1"/>
    <col min="1800" max="1800" width="13.7109375" style="63" customWidth="1"/>
    <col min="1801" max="1803" width="9.140625" style="63" customWidth="1"/>
    <col min="1804" max="1804" width="12.28515625" style="63" bestFit="1" customWidth="1"/>
    <col min="1805" max="2048" width="11.42578125" style="63"/>
    <col min="2049" max="2049" width="7.140625" style="63" customWidth="1"/>
    <col min="2050" max="2051" width="11.42578125" style="63" customWidth="1"/>
    <col min="2052" max="2052" width="21" style="63" customWidth="1"/>
    <col min="2053" max="2053" width="9.140625" style="63" customWidth="1"/>
    <col min="2054" max="2054" width="13.42578125" style="63" customWidth="1"/>
    <col min="2055" max="2055" width="9.140625" style="63" customWidth="1"/>
    <col min="2056" max="2056" width="13.7109375" style="63" customWidth="1"/>
    <col min="2057" max="2059" width="9.140625" style="63" customWidth="1"/>
    <col min="2060" max="2060" width="12.28515625" style="63" bestFit="1" customWidth="1"/>
    <col min="2061" max="2304" width="11.42578125" style="63"/>
    <col min="2305" max="2305" width="7.140625" style="63" customWidth="1"/>
    <col min="2306" max="2307" width="11.42578125" style="63" customWidth="1"/>
    <col min="2308" max="2308" width="21" style="63" customWidth="1"/>
    <col min="2309" max="2309" width="9.140625" style="63" customWidth="1"/>
    <col min="2310" max="2310" width="13.42578125" style="63" customWidth="1"/>
    <col min="2311" max="2311" width="9.140625" style="63" customWidth="1"/>
    <col min="2312" max="2312" width="13.7109375" style="63" customWidth="1"/>
    <col min="2313" max="2315" width="9.140625" style="63" customWidth="1"/>
    <col min="2316" max="2316" width="12.28515625" style="63" bestFit="1" customWidth="1"/>
    <col min="2317" max="2560" width="11.42578125" style="63"/>
    <col min="2561" max="2561" width="7.140625" style="63" customWidth="1"/>
    <col min="2562" max="2563" width="11.42578125" style="63" customWidth="1"/>
    <col min="2564" max="2564" width="21" style="63" customWidth="1"/>
    <col min="2565" max="2565" width="9.140625" style="63" customWidth="1"/>
    <col min="2566" max="2566" width="13.42578125" style="63" customWidth="1"/>
    <col min="2567" max="2567" width="9.140625" style="63" customWidth="1"/>
    <col min="2568" max="2568" width="13.7109375" style="63" customWidth="1"/>
    <col min="2569" max="2571" width="9.140625" style="63" customWidth="1"/>
    <col min="2572" max="2572" width="12.28515625" style="63" bestFit="1" customWidth="1"/>
    <col min="2573" max="2816" width="11.42578125" style="63"/>
    <col min="2817" max="2817" width="7.140625" style="63" customWidth="1"/>
    <col min="2818" max="2819" width="11.42578125" style="63" customWidth="1"/>
    <col min="2820" max="2820" width="21" style="63" customWidth="1"/>
    <col min="2821" max="2821" width="9.140625" style="63" customWidth="1"/>
    <col min="2822" max="2822" width="13.42578125" style="63" customWidth="1"/>
    <col min="2823" max="2823" width="9.140625" style="63" customWidth="1"/>
    <col min="2824" max="2824" width="13.7109375" style="63" customWidth="1"/>
    <col min="2825" max="2827" width="9.140625" style="63" customWidth="1"/>
    <col min="2828" max="2828" width="12.28515625" style="63" bestFit="1" customWidth="1"/>
    <col min="2829" max="3072" width="11.42578125" style="63"/>
    <col min="3073" max="3073" width="7.140625" style="63" customWidth="1"/>
    <col min="3074" max="3075" width="11.42578125" style="63" customWidth="1"/>
    <col min="3076" max="3076" width="21" style="63" customWidth="1"/>
    <col min="3077" max="3077" width="9.140625" style="63" customWidth="1"/>
    <col min="3078" max="3078" width="13.42578125" style="63" customWidth="1"/>
    <col min="3079" max="3079" width="9.140625" style="63" customWidth="1"/>
    <col min="3080" max="3080" width="13.7109375" style="63" customWidth="1"/>
    <col min="3081" max="3083" width="9.140625" style="63" customWidth="1"/>
    <col min="3084" max="3084" width="12.28515625" style="63" bestFit="1" customWidth="1"/>
    <col min="3085" max="3328" width="11.42578125" style="63"/>
    <col min="3329" max="3329" width="7.140625" style="63" customWidth="1"/>
    <col min="3330" max="3331" width="11.42578125" style="63" customWidth="1"/>
    <col min="3332" max="3332" width="21" style="63" customWidth="1"/>
    <col min="3333" max="3333" width="9.140625" style="63" customWidth="1"/>
    <col min="3334" max="3334" width="13.42578125" style="63" customWidth="1"/>
    <col min="3335" max="3335" width="9.140625" style="63" customWidth="1"/>
    <col min="3336" max="3336" width="13.7109375" style="63" customWidth="1"/>
    <col min="3337" max="3339" width="9.140625" style="63" customWidth="1"/>
    <col min="3340" max="3340" width="12.28515625" style="63" bestFit="1" customWidth="1"/>
    <col min="3341" max="3584" width="11.42578125" style="63"/>
    <col min="3585" max="3585" width="7.140625" style="63" customWidth="1"/>
    <col min="3586" max="3587" width="11.42578125" style="63" customWidth="1"/>
    <col min="3588" max="3588" width="21" style="63" customWidth="1"/>
    <col min="3589" max="3589" width="9.140625" style="63" customWidth="1"/>
    <col min="3590" max="3590" width="13.42578125" style="63" customWidth="1"/>
    <col min="3591" max="3591" width="9.140625" style="63" customWidth="1"/>
    <col min="3592" max="3592" width="13.7109375" style="63" customWidth="1"/>
    <col min="3593" max="3595" width="9.140625" style="63" customWidth="1"/>
    <col min="3596" max="3596" width="12.28515625" style="63" bestFit="1" customWidth="1"/>
    <col min="3597" max="3840" width="11.42578125" style="63"/>
    <col min="3841" max="3841" width="7.140625" style="63" customWidth="1"/>
    <col min="3842" max="3843" width="11.42578125" style="63" customWidth="1"/>
    <col min="3844" max="3844" width="21" style="63" customWidth="1"/>
    <col min="3845" max="3845" width="9.140625" style="63" customWidth="1"/>
    <col min="3846" max="3846" width="13.42578125" style="63" customWidth="1"/>
    <col min="3847" max="3847" width="9.140625" style="63" customWidth="1"/>
    <col min="3848" max="3848" width="13.7109375" style="63" customWidth="1"/>
    <col min="3849" max="3851" width="9.140625" style="63" customWidth="1"/>
    <col min="3852" max="3852" width="12.28515625" style="63" bestFit="1" customWidth="1"/>
    <col min="3853" max="4096" width="11.42578125" style="63"/>
    <col min="4097" max="4097" width="7.140625" style="63" customWidth="1"/>
    <col min="4098" max="4099" width="11.42578125" style="63" customWidth="1"/>
    <col min="4100" max="4100" width="21" style="63" customWidth="1"/>
    <col min="4101" max="4101" width="9.140625" style="63" customWidth="1"/>
    <col min="4102" max="4102" width="13.42578125" style="63" customWidth="1"/>
    <col min="4103" max="4103" width="9.140625" style="63" customWidth="1"/>
    <col min="4104" max="4104" width="13.7109375" style="63" customWidth="1"/>
    <col min="4105" max="4107" width="9.140625" style="63" customWidth="1"/>
    <col min="4108" max="4108" width="12.28515625" style="63" bestFit="1" customWidth="1"/>
    <col min="4109" max="4352" width="11.42578125" style="63"/>
    <col min="4353" max="4353" width="7.140625" style="63" customWidth="1"/>
    <col min="4354" max="4355" width="11.42578125" style="63" customWidth="1"/>
    <col min="4356" max="4356" width="21" style="63" customWidth="1"/>
    <col min="4357" max="4357" width="9.140625" style="63" customWidth="1"/>
    <col min="4358" max="4358" width="13.42578125" style="63" customWidth="1"/>
    <col min="4359" max="4359" width="9.140625" style="63" customWidth="1"/>
    <col min="4360" max="4360" width="13.7109375" style="63" customWidth="1"/>
    <col min="4361" max="4363" width="9.140625" style="63" customWidth="1"/>
    <col min="4364" max="4364" width="12.28515625" style="63" bestFit="1" customWidth="1"/>
    <col min="4365" max="4608" width="11.42578125" style="63"/>
    <col min="4609" max="4609" width="7.140625" style="63" customWidth="1"/>
    <col min="4610" max="4611" width="11.42578125" style="63" customWidth="1"/>
    <col min="4612" max="4612" width="21" style="63" customWidth="1"/>
    <col min="4613" max="4613" width="9.140625" style="63" customWidth="1"/>
    <col min="4614" max="4614" width="13.42578125" style="63" customWidth="1"/>
    <col min="4615" max="4615" width="9.140625" style="63" customWidth="1"/>
    <col min="4616" max="4616" width="13.7109375" style="63" customWidth="1"/>
    <col min="4617" max="4619" width="9.140625" style="63" customWidth="1"/>
    <col min="4620" max="4620" width="12.28515625" style="63" bestFit="1" customWidth="1"/>
    <col min="4621" max="4864" width="11.42578125" style="63"/>
    <col min="4865" max="4865" width="7.140625" style="63" customWidth="1"/>
    <col min="4866" max="4867" width="11.42578125" style="63" customWidth="1"/>
    <col min="4868" max="4868" width="21" style="63" customWidth="1"/>
    <col min="4869" max="4869" width="9.140625" style="63" customWidth="1"/>
    <col min="4870" max="4870" width="13.42578125" style="63" customWidth="1"/>
    <col min="4871" max="4871" width="9.140625" style="63" customWidth="1"/>
    <col min="4872" max="4872" width="13.7109375" style="63" customWidth="1"/>
    <col min="4873" max="4875" width="9.140625" style="63" customWidth="1"/>
    <col min="4876" max="4876" width="12.28515625" style="63" bestFit="1" customWidth="1"/>
    <col min="4877" max="5120" width="11.42578125" style="63"/>
    <col min="5121" max="5121" width="7.140625" style="63" customWidth="1"/>
    <col min="5122" max="5123" width="11.42578125" style="63" customWidth="1"/>
    <col min="5124" max="5124" width="21" style="63" customWidth="1"/>
    <col min="5125" max="5125" width="9.140625" style="63" customWidth="1"/>
    <col min="5126" max="5126" width="13.42578125" style="63" customWidth="1"/>
    <col min="5127" max="5127" width="9.140625" style="63" customWidth="1"/>
    <col min="5128" max="5128" width="13.7109375" style="63" customWidth="1"/>
    <col min="5129" max="5131" width="9.140625" style="63" customWidth="1"/>
    <col min="5132" max="5132" width="12.28515625" style="63" bestFit="1" customWidth="1"/>
    <col min="5133" max="5376" width="11.42578125" style="63"/>
    <col min="5377" max="5377" width="7.140625" style="63" customWidth="1"/>
    <col min="5378" max="5379" width="11.42578125" style="63" customWidth="1"/>
    <col min="5380" max="5380" width="21" style="63" customWidth="1"/>
    <col min="5381" max="5381" width="9.140625" style="63" customWidth="1"/>
    <col min="5382" max="5382" width="13.42578125" style="63" customWidth="1"/>
    <col min="5383" max="5383" width="9.140625" style="63" customWidth="1"/>
    <col min="5384" max="5384" width="13.7109375" style="63" customWidth="1"/>
    <col min="5385" max="5387" width="9.140625" style="63" customWidth="1"/>
    <col min="5388" max="5388" width="12.28515625" style="63" bestFit="1" customWidth="1"/>
    <col min="5389" max="5632" width="11.42578125" style="63"/>
    <col min="5633" max="5633" width="7.140625" style="63" customWidth="1"/>
    <col min="5634" max="5635" width="11.42578125" style="63" customWidth="1"/>
    <col min="5636" max="5636" width="21" style="63" customWidth="1"/>
    <col min="5637" max="5637" width="9.140625" style="63" customWidth="1"/>
    <col min="5638" max="5638" width="13.42578125" style="63" customWidth="1"/>
    <col min="5639" max="5639" width="9.140625" style="63" customWidth="1"/>
    <col min="5640" max="5640" width="13.7109375" style="63" customWidth="1"/>
    <col min="5641" max="5643" width="9.140625" style="63" customWidth="1"/>
    <col min="5644" max="5644" width="12.28515625" style="63" bestFit="1" customWidth="1"/>
    <col min="5645" max="5888" width="11.42578125" style="63"/>
    <col min="5889" max="5889" width="7.140625" style="63" customWidth="1"/>
    <col min="5890" max="5891" width="11.42578125" style="63" customWidth="1"/>
    <col min="5892" max="5892" width="21" style="63" customWidth="1"/>
    <col min="5893" max="5893" width="9.140625" style="63" customWidth="1"/>
    <col min="5894" max="5894" width="13.42578125" style="63" customWidth="1"/>
    <col min="5895" max="5895" width="9.140625" style="63" customWidth="1"/>
    <col min="5896" max="5896" width="13.7109375" style="63" customWidth="1"/>
    <col min="5897" max="5899" width="9.140625" style="63" customWidth="1"/>
    <col min="5900" max="5900" width="12.28515625" style="63" bestFit="1" customWidth="1"/>
    <col min="5901" max="6144" width="11.42578125" style="63"/>
    <col min="6145" max="6145" width="7.140625" style="63" customWidth="1"/>
    <col min="6146" max="6147" width="11.42578125" style="63" customWidth="1"/>
    <col min="6148" max="6148" width="21" style="63" customWidth="1"/>
    <col min="6149" max="6149" width="9.140625" style="63" customWidth="1"/>
    <col min="6150" max="6150" width="13.42578125" style="63" customWidth="1"/>
    <col min="6151" max="6151" width="9.140625" style="63" customWidth="1"/>
    <col min="6152" max="6152" width="13.7109375" style="63" customWidth="1"/>
    <col min="6153" max="6155" width="9.140625" style="63" customWidth="1"/>
    <col min="6156" max="6156" width="12.28515625" style="63" bestFit="1" customWidth="1"/>
    <col min="6157" max="6400" width="11.42578125" style="63"/>
    <col min="6401" max="6401" width="7.140625" style="63" customWidth="1"/>
    <col min="6402" max="6403" width="11.42578125" style="63" customWidth="1"/>
    <col min="6404" max="6404" width="21" style="63" customWidth="1"/>
    <col min="6405" max="6405" width="9.140625" style="63" customWidth="1"/>
    <col min="6406" max="6406" width="13.42578125" style="63" customWidth="1"/>
    <col min="6407" max="6407" width="9.140625" style="63" customWidth="1"/>
    <col min="6408" max="6408" width="13.7109375" style="63" customWidth="1"/>
    <col min="6409" max="6411" width="9.140625" style="63" customWidth="1"/>
    <col min="6412" max="6412" width="12.28515625" style="63" bestFit="1" customWidth="1"/>
    <col min="6413" max="6656" width="11.42578125" style="63"/>
    <col min="6657" max="6657" width="7.140625" style="63" customWidth="1"/>
    <col min="6658" max="6659" width="11.42578125" style="63" customWidth="1"/>
    <col min="6660" max="6660" width="21" style="63" customWidth="1"/>
    <col min="6661" max="6661" width="9.140625" style="63" customWidth="1"/>
    <col min="6662" max="6662" width="13.42578125" style="63" customWidth="1"/>
    <col min="6663" max="6663" width="9.140625" style="63" customWidth="1"/>
    <col min="6664" max="6664" width="13.7109375" style="63" customWidth="1"/>
    <col min="6665" max="6667" width="9.140625" style="63" customWidth="1"/>
    <col min="6668" max="6668" width="12.28515625" style="63" bestFit="1" customWidth="1"/>
    <col min="6669" max="6912" width="11.42578125" style="63"/>
    <col min="6913" max="6913" width="7.140625" style="63" customWidth="1"/>
    <col min="6914" max="6915" width="11.42578125" style="63" customWidth="1"/>
    <col min="6916" max="6916" width="21" style="63" customWidth="1"/>
    <col min="6917" max="6917" width="9.140625" style="63" customWidth="1"/>
    <col min="6918" max="6918" width="13.42578125" style="63" customWidth="1"/>
    <col min="6919" max="6919" width="9.140625" style="63" customWidth="1"/>
    <col min="6920" max="6920" width="13.7109375" style="63" customWidth="1"/>
    <col min="6921" max="6923" width="9.140625" style="63" customWidth="1"/>
    <col min="6924" max="6924" width="12.28515625" style="63" bestFit="1" customWidth="1"/>
    <col min="6925" max="7168" width="11.42578125" style="63"/>
    <col min="7169" max="7169" width="7.140625" style="63" customWidth="1"/>
    <col min="7170" max="7171" width="11.42578125" style="63" customWidth="1"/>
    <col min="7172" max="7172" width="21" style="63" customWidth="1"/>
    <col min="7173" max="7173" width="9.140625" style="63" customWidth="1"/>
    <col min="7174" max="7174" width="13.42578125" style="63" customWidth="1"/>
    <col min="7175" max="7175" width="9.140625" style="63" customWidth="1"/>
    <col min="7176" max="7176" width="13.7109375" style="63" customWidth="1"/>
    <col min="7177" max="7179" width="9.140625" style="63" customWidth="1"/>
    <col min="7180" max="7180" width="12.28515625" style="63" bestFit="1" customWidth="1"/>
    <col min="7181" max="7424" width="11.42578125" style="63"/>
    <col min="7425" max="7425" width="7.140625" style="63" customWidth="1"/>
    <col min="7426" max="7427" width="11.42578125" style="63" customWidth="1"/>
    <col min="7428" max="7428" width="21" style="63" customWidth="1"/>
    <col min="7429" max="7429" width="9.140625" style="63" customWidth="1"/>
    <col min="7430" max="7430" width="13.42578125" style="63" customWidth="1"/>
    <col min="7431" max="7431" width="9.140625" style="63" customWidth="1"/>
    <col min="7432" max="7432" width="13.7109375" style="63" customWidth="1"/>
    <col min="7433" max="7435" width="9.140625" style="63" customWidth="1"/>
    <col min="7436" max="7436" width="12.28515625" style="63" bestFit="1" customWidth="1"/>
    <col min="7437" max="7680" width="11.42578125" style="63"/>
    <col min="7681" max="7681" width="7.140625" style="63" customWidth="1"/>
    <col min="7682" max="7683" width="11.42578125" style="63" customWidth="1"/>
    <col min="7684" max="7684" width="21" style="63" customWidth="1"/>
    <col min="7685" max="7685" width="9.140625" style="63" customWidth="1"/>
    <col min="7686" max="7686" width="13.42578125" style="63" customWidth="1"/>
    <col min="7687" max="7687" width="9.140625" style="63" customWidth="1"/>
    <col min="7688" max="7688" width="13.7109375" style="63" customWidth="1"/>
    <col min="7689" max="7691" width="9.140625" style="63" customWidth="1"/>
    <col min="7692" max="7692" width="12.28515625" style="63" bestFit="1" customWidth="1"/>
    <col min="7693" max="7936" width="11.42578125" style="63"/>
    <col min="7937" max="7937" width="7.140625" style="63" customWidth="1"/>
    <col min="7938" max="7939" width="11.42578125" style="63" customWidth="1"/>
    <col min="7940" max="7940" width="21" style="63" customWidth="1"/>
    <col min="7941" max="7941" width="9.140625" style="63" customWidth="1"/>
    <col min="7942" max="7942" width="13.42578125" style="63" customWidth="1"/>
    <col min="7943" max="7943" width="9.140625" style="63" customWidth="1"/>
    <col min="7944" max="7944" width="13.7109375" style="63" customWidth="1"/>
    <col min="7945" max="7947" width="9.140625" style="63" customWidth="1"/>
    <col min="7948" max="7948" width="12.28515625" style="63" bestFit="1" customWidth="1"/>
    <col min="7949" max="8192" width="11.42578125" style="63"/>
    <col min="8193" max="8193" width="7.140625" style="63" customWidth="1"/>
    <col min="8194" max="8195" width="11.42578125" style="63" customWidth="1"/>
    <col min="8196" max="8196" width="21" style="63" customWidth="1"/>
    <col min="8197" max="8197" width="9.140625" style="63" customWidth="1"/>
    <col min="8198" max="8198" width="13.42578125" style="63" customWidth="1"/>
    <col min="8199" max="8199" width="9.140625" style="63" customWidth="1"/>
    <col min="8200" max="8200" width="13.7109375" style="63" customWidth="1"/>
    <col min="8201" max="8203" width="9.140625" style="63" customWidth="1"/>
    <col min="8204" max="8204" width="12.28515625" style="63" bestFit="1" customWidth="1"/>
    <col min="8205" max="8448" width="11.42578125" style="63"/>
    <col min="8449" max="8449" width="7.140625" style="63" customWidth="1"/>
    <col min="8450" max="8451" width="11.42578125" style="63" customWidth="1"/>
    <col min="8452" max="8452" width="21" style="63" customWidth="1"/>
    <col min="8453" max="8453" width="9.140625" style="63" customWidth="1"/>
    <col min="8454" max="8454" width="13.42578125" style="63" customWidth="1"/>
    <col min="8455" max="8455" width="9.140625" style="63" customWidth="1"/>
    <col min="8456" max="8456" width="13.7109375" style="63" customWidth="1"/>
    <col min="8457" max="8459" width="9.140625" style="63" customWidth="1"/>
    <col min="8460" max="8460" width="12.28515625" style="63" bestFit="1" customWidth="1"/>
    <col min="8461" max="8704" width="11.42578125" style="63"/>
    <col min="8705" max="8705" width="7.140625" style="63" customWidth="1"/>
    <col min="8706" max="8707" width="11.42578125" style="63" customWidth="1"/>
    <col min="8708" max="8708" width="21" style="63" customWidth="1"/>
    <col min="8709" max="8709" width="9.140625" style="63" customWidth="1"/>
    <col min="8710" max="8710" width="13.42578125" style="63" customWidth="1"/>
    <col min="8711" max="8711" width="9.140625" style="63" customWidth="1"/>
    <col min="8712" max="8712" width="13.7109375" style="63" customWidth="1"/>
    <col min="8713" max="8715" width="9.140625" style="63" customWidth="1"/>
    <col min="8716" max="8716" width="12.28515625" style="63" bestFit="1" customWidth="1"/>
    <col min="8717" max="8960" width="11.42578125" style="63"/>
    <col min="8961" max="8961" width="7.140625" style="63" customWidth="1"/>
    <col min="8962" max="8963" width="11.42578125" style="63" customWidth="1"/>
    <col min="8964" max="8964" width="21" style="63" customWidth="1"/>
    <col min="8965" max="8965" width="9.140625" style="63" customWidth="1"/>
    <col min="8966" max="8966" width="13.42578125" style="63" customWidth="1"/>
    <col min="8967" max="8967" width="9.140625" style="63" customWidth="1"/>
    <col min="8968" max="8968" width="13.7109375" style="63" customWidth="1"/>
    <col min="8969" max="8971" width="9.140625" style="63" customWidth="1"/>
    <col min="8972" max="8972" width="12.28515625" style="63" bestFit="1" customWidth="1"/>
    <col min="8973" max="9216" width="11.42578125" style="63"/>
    <col min="9217" max="9217" width="7.140625" style="63" customWidth="1"/>
    <col min="9218" max="9219" width="11.42578125" style="63" customWidth="1"/>
    <col min="9220" max="9220" width="21" style="63" customWidth="1"/>
    <col min="9221" max="9221" width="9.140625" style="63" customWidth="1"/>
    <col min="9222" max="9222" width="13.42578125" style="63" customWidth="1"/>
    <col min="9223" max="9223" width="9.140625" style="63" customWidth="1"/>
    <col min="9224" max="9224" width="13.7109375" style="63" customWidth="1"/>
    <col min="9225" max="9227" width="9.140625" style="63" customWidth="1"/>
    <col min="9228" max="9228" width="12.28515625" style="63" bestFit="1" customWidth="1"/>
    <col min="9229" max="9472" width="11.42578125" style="63"/>
    <col min="9473" max="9473" width="7.140625" style="63" customWidth="1"/>
    <col min="9474" max="9475" width="11.42578125" style="63" customWidth="1"/>
    <col min="9476" max="9476" width="21" style="63" customWidth="1"/>
    <col min="9477" max="9477" width="9.140625" style="63" customWidth="1"/>
    <col min="9478" max="9478" width="13.42578125" style="63" customWidth="1"/>
    <col min="9479" max="9479" width="9.140625" style="63" customWidth="1"/>
    <col min="9480" max="9480" width="13.7109375" style="63" customWidth="1"/>
    <col min="9481" max="9483" width="9.140625" style="63" customWidth="1"/>
    <col min="9484" max="9484" width="12.28515625" style="63" bestFit="1" customWidth="1"/>
    <col min="9485" max="9728" width="11.42578125" style="63"/>
    <col min="9729" max="9729" width="7.140625" style="63" customWidth="1"/>
    <col min="9730" max="9731" width="11.42578125" style="63" customWidth="1"/>
    <col min="9732" max="9732" width="21" style="63" customWidth="1"/>
    <col min="9733" max="9733" width="9.140625" style="63" customWidth="1"/>
    <col min="9734" max="9734" width="13.42578125" style="63" customWidth="1"/>
    <col min="9735" max="9735" width="9.140625" style="63" customWidth="1"/>
    <col min="9736" max="9736" width="13.7109375" style="63" customWidth="1"/>
    <col min="9737" max="9739" width="9.140625" style="63" customWidth="1"/>
    <col min="9740" max="9740" width="12.28515625" style="63" bestFit="1" customWidth="1"/>
    <col min="9741" max="9984" width="11.42578125" style="63"/>
    <col min="9985" max="9985" width="7.140625" style="63" customWidth="1"/>
    <col min="9986" max="9987" width="11.42578125" style="63" customWidth="1"/>
    <col min="9988" max="9988" width="21" style="63" customWidth="1"/>
    <col min="9989" max="9989" width="9.140625" style="63" customWidth="1"/>
    <col min="9990" max="9990" width="13.42578125" style="63" customWidth="1"/>
    <col min="9991" max="9991" width="9.140625" style="63" customWidth="1"/>
    <col min="9992" max="9992" width="13.7109375" style="63" customWidth="1"/>
    <col min="9993" max="9995" width="9.140625" style="63" customWidth="1"/>
    <col min="9996" max="9996" width="12.28515625" style="63" bestFit="1" customWidth="1"/>
    <col min="9997" max="10240" width="11.42578125" style="63"/>
    <col min="10241" max="10241" width="7.140625" style="63" customWidth="1"/>
    <col min="10242" max="10243" width="11.42578125" style="63" customWidth="1"/>
    <col min="10244" max="10244" width="21" style="63" customWidth="1"/>
    <col min="10245" max="10245" width="9.140625" style="63" customWidth="1"/>
    <col min="10246" max="10246" width="13.42578125" style="63" customWidth="1"/>
    <col min="10247" max="10247" width="9.140625" style="63" customWidth="1"/>
    <col min="10248" max="10248" width="13.7109375" style="63" customWidth="1"/>
    <col min="10249" max="10251" width="9.140625" style="63" customWidth="1"/>
    <col min="10252" max="10252" width="12.28515625" style="63" bestFit="1" customWidth="1"/>
    <col min="10253" max="10496" width="11.42578125" style="63"/>
    <col min="10497" max="10497" width="7.140625" style="63" customWidth="1"/>
    <col min="10498" max="10499" width="11.42578125" style="63" customWidth="1"/>
    <col min="10500" max="10500" width="21" style="63" customWidth="1"/>
    <col min="10501" max="10501" width="9.140625" style="63" customWidth="1"/>
    <col min="10502" max="10502" width="13.42578125" style="63" customWidth="1"/>
    <col min="10503" max="10503" width="9.140625" style="63" customWidth="1"/>
    <col min="10504" max="10504" width="13.7109375" style="63" customWidth="1"/>
    <col min="10505" max="10507" width="9.140625" style="63" customWidth="1"/>
    <col min="10508" max="10508" width="12.28515625" style="63" bestFit="1" customWidth="1"/>
    <col min="10509" max="10752" width="11.42578125" style="63"/>
    <col min="10753" max="10753" width="7.140625" style="63" customWidth="1"/>
    <col min="10754" max="10755" width="11.42578125" style="63" customWidth="1"/>
    <col min="10756" max="10756" width="21" style="63" customWidth="1"/>
    <col min="10757" max="10757" width="9.140625" style="63" customWidth="1"/>
    <col min="10758" max="10758" width="13.42578125" style="63" customWidth="1"/>
    <col min="10759" max="10759" width="9.140625" style="63" customWidth="1"/>
    <col min="10760" max="10760" width="13.7109375" style="63" customWidth="1"/>
    <col min="10761" max="10763" width="9.140625" style="63" customWidth="1"/>
    <col min="10764" max="10764" width="12.28515625" style="63" bestFit="1" customWidth="1"/>
    <col min="10765" max="11008" width="11.42578125" style="63"/>
    <col min="11009" max="11009" width="7.140625" style="63" customWidth="1"/>
    <col min="11010" max="11011" width="11.42578125" style="63" customWidth="1"/>
    <col min="11012" max="11012" width="21" style="63" customWidth="1"/>
    <col min="11013" max="11013" width="9.140625" style="63" customWidth="1"/>
    <col min="11014" max="11014" width="13.42578125" style="63" customWidth="1"/>
    <col min="11015" max="11015" width="9.140625" style="63" customWidth="1"/>
    <col min="11016" max="11016" width="13.7109375" style="63" customWidth="1"/>
    <col min="11017" max="11019" width="9.140625" style="63" customWidth="1"/>
    <col min="11020" max="11020" width="12.28515625" style="63" bestFit="1" customWidth="1"/>
    <col min="11021" max="11264" width="11.42578125" style="63"/>
    <col min="11265" max="11265" width="7.140625" style="63" customWidth="1"/>
    <col min="11266" max="11267" width="11.42578125" style="63" customWidth="1"/>
    <col min="11268" max="11268" width="21" style="63" customWidth="1"/>
    <col min="11269" max="11269" width="9.140625" style="63" customWidth="1"/>
    <col min="11270" max="11270" width="13.42578125" style="63" customWidth="1"/>
    <col min="11271" max="11271" width="9.140625" style="63" customWidth="1"/>
    <col min="11272" max="11272" width="13.7109375" style="63" customWidth="1"/>
    <col min="11273" max="11275" width="9.140625" style="63" customWidth="1"/>
    <col min="11276" max="11276" width="12.28515625" style="63" bestFit="1" customWidth="1"/>
    <col min="11277" max="11520" width="11.42578125" style="63"/>
    <col min="11521" max="11521" width="7.140625" style="63" customWidth="1"/>
    <col min="11522" max="11523" width="11.42578125" style="63" customWidth="1"/>
    <col min="11524" max="11524" width="21" style="63" customWidth="1"/>
    <col min="11525" max="11525" width="9.140625" style="63" customWidth="1"/>
    <col min="11526" max="11526" width="13.42578125" style="63" customWidth="1"/>
    <col min="11527" max="11527" width="9.140625" style="63" customWidth="1"/>
    <col min="11528" max="11528" width="13.7109375" style="63" customWidth="1"/>
    <col min="11529" max="11531" width="9.140625" style="63" customWidth="1"/>
    <col min="11532" max="11532" width="12.28515625" style="63" bestFit="1" customWidth="1"/>
    <col min="11533" max="11776" width="11.42578125" style="63"/>
    <col min="11777" max="11777" width="7.140625" style="63" customWidth="1"/>
    <col min="11778" max="11779" width="11.42578125" style="63" customWidth="1"/>
    <col min="11780" max="11780" width="21" style="63" customWidth="1"/>
    <col min="11781" max="11781" width="9.140625" style="63" customWidth="1"/>
    <col min="11782" max="11782" width="13.42578125" style="63" customWidth="1"/>
    <col min="11783" max="11783" width="9.140625" style="63" customWidth="1"/>
    <col min="11784" max="11784" width="13.7109375" style="63" customWidth="1"/>
    <col min="11785" max="11787" width="9.140625" style="63" customWidth="1"/>
    <col min="11788" max="11788" width="12.28515625" style="63" bestFit="1" customWidth="1"/>
    <col min="11789" max="12032" width="11.42578125" style="63"/>
    <col min="12033" max="12033" width="7.140625" style="63" customWidth="1"/>
    <col min="12034" max="12035" width="11.42578125" style="63" customWidth="1"/>
    <col min="12036" max="12036" width="21" style="63" customWidth="1"/>
    <col min="12037" max="12037" width="9.140625" style="63" customWidth="1"/>
    <col min="12038" max="12038" width="13.42578125" style="63" customWidth="1"/>
    <col min="12039" max="12039" width="9.140625" style="63" customWidth="1"/>
    <col min="12040" max="12040" width="13.7109375" style="63" customWidth="1"/>
    <col min="12041" max="12043" width="9.140625" style="63" customWidth="1"/>
    <col min="12044" max="12044" width="12.28515625" style="63" bestFit="1" customWidth="1"/>
    <col min="12045" max="12288" width="11.42578125" style="63"/>
    <col min="12289" max="12289" width="7.140625" style="63" customWidth="1"/>
    <col min="12290" max="12291" width="11.42578125" style="63" customWidth="1"/>
    <col min="12292" max="12292" width="21" style="63" customWidth="1"/>
    <col min="12293" max="12293" width="9.140625" style="63" customWidth="1"/>
    <col min="12294" max="12294" width="13.42578125" style="63" customWidth="1"/>
    <col min="12295" max="12295" width="9.140625" style="63" customWidth="1"/>
    <col min="12296" max="12296" width="13.7109375" style="63" customWidth="1"/>
    <col min="12297" max="12299" width="9.140625" style="63" customWidth="1"/>
    <col min="12300" max="12300" width="12.28515625" style="63" bestFit="1" customWidth="1"/>
    <col min="12301" max="12544" width="11.42578125" style="63"/>
    <col min="12545" max="12545" width="7.140625" style="63" customWidth="1"/>
    <col min="12546" max="12547" width="11.42578125" style="63" customWidth="1"/>
    <col min="12548" max="12548" width="21" style="63" customWidth="1"/>
    <col min="12549" max="12549" width="9.140625" style="63" customWidth="1"/>
    <col min="12550" max="12550" width="13.42578125" style="63" customWidth="1"/>
    <col min="12551" max="12551" width="9.140625" style="63" customWidth="1"/>
    <col min="12552" max="12552" width="13.7109375" style="63" customWidth="1"/>
    <col min="12553" max="12555" width="9.140625" style="63" customWidth="1"/>
    <col min="12556" max="12556" width="12.28515625" style="63" bestFit="1" customWidth="1"/>
    <col min="12557" max="12800" width="11.42578125" style="63"/>
    <col min="12801" max="12801" width="7.140625" style="63" customWidth="1"/>
    <col min="12802" max="12803" width="11.42578125" style="63" customWidth="1"/>
    <col min="12804" max="12804" width="21" style="63" customWidth="1"/>
    <col min="12805" max="12805" width="9.140625" style="63" customWidth="1"/>
    <col min="12806" max="12806" width="13.42578125" style="63" customWidth="1"/>
    <col min="12807" max="12807" width="9.140625" style="63" customWidth="1"/>
    <col min="12808" max="12808" width="13.7109375" style="63" customWidth="1"/>
    <col min="12809" max="12811" width="9.140625" style="63" customWidth="1"/>
    <col min="12812" max="12812" width="12.28515625" style="63" bestFit="1" customWidth="1"/>
    <col min="12813" max="13056" width="11.42578125" style="63"/>
    <col min="13057" max="13057" width="7.140625" style="63" customWidth="1"/>
    <col min="13058" max="13059" width="11.42578125" style="63" customWidth="1"/>
    <col min="13060" max="13060" width="21" style="63" customWidth="1"/>
    <col min="13061" max="13061" width="9.140625" style="63" customWidth="1"/>
    <col min="13062" max="13062" width="13.42578125" style="63" customWidth="1"/>
    <col min="13063" max="13063" width="9.140625" style="63" customWidth="1"/>
    <col min="13064" max="13064" width="13.7109375" style="63" customWidth="1"/>
    <col min="13065" max="13067" width="9.140625" style="63" customWidth="1"/>
    <col min="13068" max="13068" width="12.28515625" style="63" bestFit="1" customWidth="1"/>
    <col min="13069" max="13312" width="11.42578125" style="63"/>
    <col min="13313" max="13313" width="7.140625" style="63" customWidth="1"/>
    <col min="13314" max="13315" width="11.42578125" style="63" customWidth="1"/>
    <col min="13316" max="13316" width="21" style="63" customWidth="1"/>
    <col min="13317" max="13317" width="9.140625" style="63" customWidth="1"/>
    <col min="13318" max="13318" width="13.42578125" style="63" customWidth="1"/>
    <col min="13319" max="13319" width="9.140625" style="63" customWidth="1"/>
    <col min="13320" max="13320" width="13.7109375" style="63" customWidth="1"/>
    <col min="13321" max="13323" width="9.140625" style="63" customWidth="1"/>
    <col min="13324" max="13324" width="12.28515625" style="63" bestFit="1" customWidth="1"/>
    <col min="13325" max="13568" width="11.42578125" style="63"/>
    <col min="13569" max="13569" width="7.140625" style="63" customWidth="1"/>
    <col min="13570" max="13571" width="11.42578125" style="63" customWidth="1"/>
    <col min="13572" max="13572" width="21" style="63" customWidth="1"/>
    <col min="13573" max="13573" width="9.140625" style="63" customWidth="1"/>
    <col min="13574" max="13574" width="13.42578125" style="63" customWidth="1"/>
    <col min="13575" max="13575" width="9.140625" style="63" customWidth="1"/>
    <col min="13576" max="13576" width="13.7109375" style="63" customWidth="1"/>
    <col min="13577" max="13579" width="9.140625" style="63" customWidth="1"/>
    <col min="13580" max="13580" width="12.28515625" style="63" bestFit="1" customWidth="1"/>
    <col min="13581" max="13824" width="11.42578125" style="63"/>
    <col min="13825" max="13825" width="7.140625" style="63" customWidth="1"/>
    <col min="13826" max="13827" width="11.42578125" style="63" customWidth="1"/>
    <col min="13828" max="13828" width="21" style="63" customWidth="1"/>
    <col min="13829" max="13829" width="9.140625" style="63" customWidth="1"/>
    <col min="13830" max="13830" width="13.42578125" style="63" customWidth="1"/>
    <col min="13831" max="13831" width="9.140625" style="63" customWidth="1"/>
    <col min="13832" max="13832" width="13.7109375" style="63" customWidth="1"/>
    <col min="13833" max="13835" width="9.140625" style="63" customWidth="1"/>
    <col min="13836" max="13836" width="12.28515625" style="63" bestFit="1" customWidth="1"/>
    <col min="13837" max="14080" width="11.42578125" style="63"/>
    <col min="14081" max="14081" width="7.140625" style="63" customWidth="1"/>
    <col min="14082" max="14083" width="11.42578125" style="63" customWidth="1"/>
    <col min="14084" max="14084" width="21" style="63" customWidth="1"/>
    <col min="14085" max="14085" width="9.140625" style="63" customWidth="1"/>
    <col min="14086" max="14086" width="13.42578125" style="63" customWidth="1"/>
    <col min="14087" max="14087" width="9.140625" style="63" customWidth="1"/>
    <col min="14088" max="14088" width="13.7109375" style="63" customWidth="1"/>
    <col min="14089" max="14091" width="9.140625" style="63" customWidth="1"/>
    <col min="14092" max="14092" width="12.28515625" style="63" bestFit="1" customWidth="1"/>
    <col min="14093" max="14336" width="11.42578125" style="63"/>
    <col min="14337" max="14337" width="7.140625" style="63" customWidth="1"/>
    <col min="14338" max="14339" width="11.42578125" style="63" customWidth="1"/>
    <col min="14340" max="14340" width="21" style="63" customWidth="1"/>
    <col min="14341" max="14341" width="9.140625" style="63" customWidth="1"/>
    <col min="14342" max="14342" width="13.42578125" style="63" customWidth="1"/>
    <col min="14343" max="14343" width="9.140625" style="63" customWidth="1"/>
    <col min="14344" max="14344" width="13.7109375" style="63" customWidth="1"/>
    <col min="14345" max="14347" width="9.140625" style="63" customWidth="1"/>
    <col min="14348" max="14348" width="12.28515625" style="63" bestFit="1" customWidth="1"/>
    <col min="14349" max="14592" width="11.42578125" style="63"/>
    <col min="14593" max="14593" width="7.140625" style="63" customWidth="1"/>
    <col min="14594" max="14595" width="11.42578125" style="63" customWidth="1"/>
    <col min="14596" max="14596" width="21" style="63" customWidth="1"/>
    <col min="14597" max="14597" width="9.140625" style="63" customWidth="1"/>
    <col min="14598" max="14598" width="13.42578125" style="63" customWidth="1"/>
    <col min="14599" max="14599" width="9.140625" style="63" customWidth="1"/>
    <col min="14600" max="14600" width="13.7109375" style="63" customWidth="1"/>
    <col min="14601" max="14603" width="9.140625" style="63" customWidth="1"/>
    <col min="14604" max="14604" width="12.28515625" style="63" bestFit="1" customWidth="1"/>
    <col min="14605" max="14848" width="11.42578125" style="63"/>
    <col min="14849" max="14849" width="7.140625" style="63" customWidth="1"/>
    <col min="14850" max="14851" width="11.42578125" style="63" customWidth="1"/>
    <col min="14852" max="14852" width="21" style="63" customWidth="1"/>
    <col min="14853" max="14853" width="9.140625" style="63" customWidth="1"/>
    <col min="14854" max="14854" width="13.42578125" style="63" customWidth="1"/>
    <col min="14855" max="14855" width="9.140625" style="63" customWidth="1"/>
    <col min="14856" max="14856" width="13.7109375" style="63" customWidth="1"/>
    <col min="14857" max="14859" width="9.140625" style="63" customWidth="1"/>
    <col min="14860" max="14860" width="12.28515625" style="63" bestFit="1" customWidth="1"/>
    <col min="14861" max="15104" width="11.42578125" style="63"/>
    <col min="15105" max="15105" width="7.140625" style="63" customWidth="1"/>
    <col min="15106" max="15107" width="11.42578125" style="63" customWidth="1"/>
    <col min="15108" max="15108" width="21" style="63" customWidth="1"/>
    <col min="15109" max="15109" width="9.140625" style="63" customWidth="1"/>
    <col min="15110" max="15110" width="13.42578125" style="63" customWidth="1"/>
    <col min="15111" max="15111" width="9.140625" style="63" customWidth="1"/>
    <col min="15112" max="15112" width="13.7109375" style="63" customWidth="1"/>
    <col min="15113" max="15115" width="9.140625" style="63" customWidth="1"/>
    <col min="15116" max="15116" width="12.28515625" style="63" bestFit="1" customWidth="1"/>
    <col min="15117" max="15360" width="11.42578125" style="63"/>
    <col min="15361" max="15361" width="7.140625" style="63" customWidth="1"/>
    <col min="15362" max="15363" width="11.42578125" style="63" customWidth="1"/>
    <col min="15364" max="15364" width="21" style="63" customWidth="1"/>
    <col min="15365" max="15365" width="9.140625" style="63" customWidth="1"/>
    <col min="15366" max="15366" width="13.42578125" style="63" customWidth="1"/>
    <col min="15367" max="15367" width="9.140625" style="63" customWidth="1"/>
    <col min="15368" max="15368" width="13.7109375" style="63" customWidth="1"/>
    <col min="15369" max="15371" width="9.140625" style="63" customWidth="1"/>
    <col min="15372" max="15372" width="12.28515625" style="63" bestFit="1" customWidth="1"/>
    <col min="15373" max="15616" width="11.42578125" style="63"/>
    <col min="15617" max="15617" width="7.140625" style="63" customWidth="1"/>
    <col min="15618" max="15619" width="11.42578125" style="63" customWidth="1"/>
    <col min="15620" max="15620" width="21" style="63" customWidth="1"/>
    <col min="15621" max="15621" width="9.140625" style="63" customWidth="1"/>
    <col min="15622" max="15622" width="13.42578125" style="63" customWidth="1"/>
    <col min="15623" max="15623" width="9.140625" style="63" customWidth="1"/>
    <col min="15624" max="15624" width="13.7109375" style="63" customWidth="1"/>
    <col min="15625" max="15627" width="9.140625" style="63" customWidth="1"/>
    <col min="15628" max="15628" width="12.28515625" style="63" bestFit="1" customWidth="1"/>
    <col min="15629" max="15872" width="11.42578125" style="63"/>
    <col min="15873" max="15873" width="7.140625" style="63" customWidth="1"/>
    <col min="15874" max="15875" width="11.42578125" style="63" customWidth="1"/>
    <col min="15876" max="15876" width="21" style="63" customWidth="1"/>
    <col min="15877" max="15877" width="9.140625" style="63" customWidth="1"/>
    <col min="15878" max="15878" width="13.42578125" style="63" customWidth="1"/>
    <col min="15879" max="15879" width="9.140625" style="63" customWidth="1"/>
    <col min="15880" max="15880" width="13.7109375" style="63" customWidth="1"/>
    <col min="15881" max="15883" width="9.140625" style="63" customWidth="1"/>
    <col min="15884" max="15884" width="12.28515625" style="63" bestFit="1" customWidth="1"/>
    <col min="15885" max="16128" width="11.42578125" style="63"/>
    <col min="16129" max="16129" width="7.140625" style="63" customWidth="1"/>
    <col min="16130" max="16131" width="11.42578125" style="63" customWidth="1"/>
    <col min="16132" max="16132" width="21" style="63" customWidth="1"/>
    <col min="16133" max="16133" width="9.140625" style="63" customWidth="1"/>
    <col min="16134" max="16134" width="13.42578125" style="63" customWidth="1"/>
    <col min="16135" max="16135" width="9.140625" style="63" customWidth="1"/>
    <col min="16136" max="16136" width="13.7109375" style="63" customWidth="1"/>
    <col min="16137" max="16139" width="9.140625" style="63" customWidth="1"/>
    <col min="16140" max="16140" width="12.28515625" style="63" bestFit="1" customWidth="1"/>
    <col min="16141" max="16384" width="11.42578125" style="63"/>
  </cols>
  <sheetData>
    <row r="1" spans="1:27" ht="15" x14ac:dyDescent="0.25">
      <c r="M1" s="71" t="s">
        <v>281</v>
      </c>
      <c r="N1" s="72" t="s">
        <v>283</v>
      </c>
      <c r="O1" s="72" t="s">
        <v>293</v>
      </c>
      <c r="P1" s="72" t="s">
        <v>301</v>
      </c>
      <c r="Q1" s="72" t="s">
        <v>309</v>
      </c>
      <c r="R1" s="72" t="s">
        <v>317</v>
      </c>
      <c r="S1" s="72" t="s">
        <v>325</v>
      </c>
      <c r="T1" s="72" t="s">
        <v>331</v>
      </c>
      <c r="U1" s="72"/>
      <c r="V1" s="73"/>
      <c r="W1" s="74"/>
      <c r="X1" s="74"/>
      <c r="Y1" s="74"/>
      <c r="Z1" s="74"/>
      <c r="AA1" s="74"/>
    </row>
    <row r="2" spans="1:27" ht="15" x14ac:dyDescent="0.25">
      <c r="M2" s="71" t="s">
        <v>348</v>
      </c>
      <c r="N2" s="72" t="s">
        <v>284</v>
      </c>
      <c r="O2" s="72" t="s">
        <v>294</v>
      </c>
      <c r="P2" s="72" t="s">
        <v>302</v>
      </c>
      <c r="Q2" s="72" t="s">
        <v>310</v>
      </c>
      <c r="R2" s="72" t="s">
        <v>318</v>
      </c>
      <c r="S2" s="74"/>
      <c r="T2" s="74"/>
      <c r="U2" s="74"/>
      <c r="V2" s="73"/>
      <c r="W2" s="74"/>
      <c r="X2" s="74"/>
      <c r="Y2" s="74"/>
      <c r="Z2" s="74"/>
      <c r="AA2" s="74"/>
    </row>
    <row r="3" spans="1:27" ht="15" x14ac:dyDescent="0.25">
      <c r="M3" s="71" t="s">
        <v>350</v>
      </c>
      <c r="N3" s="72" t="s">
        <v>285</v>
      </c>
      <c r="O3" s="72" t="s">
        <v>295</v>
      </c>
      <c r="P3" s="72" t="s">
        <v>303</v>
      </c>
      <c r="Q3" s="72" t="s">
        <v>311</v>
      </c>
      <c r="R3" s="72" t="s">
        <v>319</v>
      </c>
      <c r="S3" s="72"/>
      <c r="T3" s="72"/>
      <c r="U3" s="72"/>
      <c r="V3" s="73"/>
      <c r="W3" s="73"/>
      <c r="X3" s="74"/>
      <c r="Y3" s="74"/>
      <c r="Z3" s="74"/>
      <c r="AA3" s="74"/>
    </row>
    <row r="4" spans="1:27" ht="15" x14ac:dyDescent="0.25">
      <c r="M4" s="71" t="s">
        <v>351</v>
      </c>
      <c r="N4" s="72" t="s">
        <v>286</v>
      </c>
      <c r="O4" s="72" t="s">
        <v>296</v>
      </c>
      <c r="P4" s="72" t="s">
        <v>304</v>
      </c>
      <c r="Q4" s="72" t="s">
        <v>312</v>
      </c>
      <c r="R4" s="72" t="s">
        <v>320</v>
      </c>
      <c r="S4" s="72" t="s">
        <v>326</v>
      </c>
      <c r="T4" s="72" t="s">
        <v>332</v>
      </c>
      <c r="U4" s="72" t="s">
        <v>337</v>
      </c>
      <c r="V4" s="73"/>
      <c r="W4" s="73"/>
      <c r="X4" s="74"/>
      <c r="Y4" s="74"/>
      <c r="Z4" s="74"/>
      <c r="AA4" s="74"/>
    </row>
    <row r="5" spans="1:27" ht="15" x14ac:dyDescent="0.25">
      <c r="M5" s="71" t="s">
        <v>349</v>
      </c>
      <c r="N5" s="72" t="s">
        <v>287</v>
      </c>
      <c r="O5" s="73"/>
      <c r="P5" s="72"/>
      <c r="Q5" s="71"/>
      <c r="R5" s="72"/>
      <c r="S5" s="72"/>
      <c r="T5" s="72"/>
      <c r="U5" s="72"/>
      <c r="V5" s="73"/>
      <c r="W5" s="74"/>
      <c r="X5" s="74"/>
      <c r="Y5" s="74"/>
      <c r="Z5" s="74"/>
      <c r="AA5" s="74"/>
    </row>
    <row r="6" spans="1:27" x14ac:dyDescent="0.2">
      <c r="I6" s="182"/>
      <c r="J6" s="182"/>
      <c r="M6" s="71" t="s">
        <v>352</v>
      </c>
      <c r="N6" s="72" t="s">
        <v>288</v>
      </c>
      <c r="O6" s="72" t="s">
        <v>297</v>
      </c>
      <c r="P6" s="72" t="s">
        <v>305</v>
      </c>
      <c r="Q6" s="72" t="s">
        <v>313</v>
      </c>
      <c r="R6" s="72" t="s">
        <v>321</v>
      </c>
      <c r="S6" s="72" t="s">
        <v>327</v>
      </c>
      <c r="T6" s="72" t="s">
        <v>333</v>
      </c>
      <c r="U6" s="72" t="s">
        <v>338</v>
      </c>
      <c r="V6" s="72" t="s">
        <v>342</v>
      </c>
      <c r="W6" s="72" t="s">
        <v>343</v>
      </c>
      <c r="X6" s="72" t="s">
        <v>344</v>
      </c>
      <c r="Y6" s="72" t="s">
        <v>345</v>
      </c>
      <c r="Z6" s="72" t="s">
        <v>346</v>
      </c>
      <c r="AA6" s="72" t="s">
        <v>347</v>
      </c>
    </row>
    <row r="7" spans="1:27" ht="23.85" customHeight="1" x14ac:dyDescent="0.25">
      <c r="B7" s="258" t="s">
        <v>359</v>
      </c>
      <c r="C7" s="259"/>
      <c r="D7" s="259"/>
      <c r="E7" s="259"/>
      <c r="F7" s="259"/>
      <c r="G7" s="259"/>
      <c r="H7" s="259"/>
      <c r="I7" s="259"/>
      <c r="J7" s="260"/>
      <c r="M7" s="71" t="s">
        <v>355</v>
      </c>
      <c r="N7" s="72" t="s">
        <v>289</v>
      </c>
      <c r="O7" s="72" t="s">
        <v>298</v>
      </c>
      <c r="P7" s="72" t="s">
        <v>306</v>
      </c>
      <c r="Q7" s="72" t="s">
        <v>314</v>
      </c>
      <c r="R7" s="72" t="s">
        <v>322</v>
      </c>
      <c r="S7" s="72" t="s">
        <v>328</v>
      </c>
      <c r="T7" s="72" t="s">
        <v>334</v>
      </c>
      <c r="U7" s="72" t="s">
        <v>339</v>
      </c>
      <c r="V7" s="73"/>
      <c r="W7" s="74"/>
      <c r="X7" s="74"/>
      <c r="Y7" s="74"/>
      <c r="Z7" s="74"/>
      <c r="AA7" s="74"/>
    </row>
    <row r="8" spans="1:27" ht="15.75" x14ac:dyDescent="0.25">
      <c r="A8" s="111"/>
      <c r="B8" s="261" t="s">
        <v>477</v>
      </c>
      <c r="C8" s="262"/>
      <c r="D8" s="262"/>
      <c r="E8" s="262"/>
      <c r="F8" s="262"/>
      <c r="G8" s="262"/>
      <c r="H8" s="262"/>
      <c r="I8" s="262"/>
      <c r="J8" s="263"/>
      <c r="K8" s="70"/>
      <c r="L8" s="70"/>
      <c r="M8" s="71" t="s">
        <v>358</v>
      </c>
      <c r="N8" s="72" t="s">
        <v>290</v>
      </c>
      <c r="O8" s="72" t="s">
        <v>299</v>
      </c>
      <c r="P8" s="72" t="s">
        <v>307</v>
      </c>
      <c r="Q8" s="72" t="s">
        <v>315</v>
      </c>
      <c r="R8" s="72" t="s">
        <v>323</v>
      </c>
      <c r="S8" s="72" t="s">
        <v>329</v>
      </c>
      <c r="T8" s="72" t="s">
        <v>335</v>
      </c>
      <c r="U8" s="72" t="s">
        <v>340</v>
      </c>
      <c r="V8" s="73"/>
      <c r="W8" s="74"/>
      <c r="X8" s="74"/>
      <c r="Y8" s="74"/>
      <c r="Z8" s="74"/>
      <c r="AA8" s="74"/>
    </row>
    <row r="9" spans="1:27" ht="15" x14ac:dyDescent="0.25">
      <c r="B9" s="173" t="s">
        <v>408</v>
      </c>
      <c r="C9" s="181"/>
      <c r="D9" s="174"/>
      <c r="E9" s="236" t="s">
        <v>478</v>
      </c>
      <c r="F9" s="237"/>
      <c r="G9" s="236" t="s">
        <v>482</v>
      </c>
      <c r="H9" s="264"/>
      <c r="I9" s="236" t="s">
        <v>362</v>
      </c>
      <c r="J9" s="237"/>
      <c r="L9" s="70"/>
      <c r="M9" s="71" t="s">
        <v>357</v>
      </c>
      <c r="N9" s="72" t="s">
        <v>291</v>
      </c>
      <c r="O9" s="72" t="s">
        <v>300</v>
      </c>
      <c r="P9" s="72" t="s">
        <v>308</v>
      </c>
      <c r="Q9" s="72" t="s">
        <v>316</v>
      </c>
      <c r="R9" s="72" t="s">
        <v>324</v>
      </c>
      <c r="S9" s="72" t="s">
        <v>330</v>
      </c>
      <c r="T9" s="72" t="s">
        <v>336</v>
      </c>
      <c r="U9" s="72" t="s">
        <v>341</v>
      </c>
      <c r="V9" s="73"/>
      <c r="W9" s="74"/>
      <c r="X9" s="74"/>
      <c r="Y9" s="74"/>
      <c r="Z9" s="74"/>
      <c r="AA9" s="74"/>
    </row>
    <row r="10" spans="1:27" ht="15.75" x14ac:dyDescent="0.25">
      <c r="A10" s="75">
        <v>2000</v>
      </c>
      <c r="B10" s="171" t="s">
        <v>281</v>
      </c>
      <c r="C10" s="168"/>
      <c r="D10" s="170"/>
      <c r="E10" s="171"/>
      <c r="F10" s="172"/>
      <c r="G10" s="171"/>
      <c r="H10" s="171"/>
      <c r="I10" s="171"/>
      <c r="J10" s="171"/>
      <c r="L10" s="70"/>
      <c r="M10" s="71" t="s">
        <v>282</v>
      </c>
      <c r="N10" s="72" t="s">
        <v>292</v>
      </c>
      <c r="O10" s="71"/>
      <c r="P10" s="73"/>
      <c r="Q10" s="73"/>
      <c r="R10" s="71"/>
      <c r="S10" s="72"/>
      <c r="T10" s="74"/>
      <c r="U10" s="73"/>
      <c r="V10" s="73"/>
      <c r="W10" s="74"/>
      <c r="X10" s="74"/>
      <c r="Y10" s="74"/>
      <c r="Z10" s="74"/>
      <c r="AA10" s="74"/>
    </row>
    <row r="11" spans="1:27" x14ac:dyDescent="0.2">
      <c r="A11" s="75">
        <v>2001</v>
      </c>
      <c r="B11" s="266" t="s">
        <v>409</v>
      </c>
      <c r="C11" s="266"/>
      <c r="D11" s="266"/>
      <c r="E11" s="114"/>
      <c r="F11" s="112">
        <f t="shared" ref="F11:F17" si="0">E11/$F$110</f>
        <v>0</v>
      </c>
      <c r="G11" s="113">
        <v>0</v>
      </c>
      <c r="H11" s="183" t="e">
        <f>G11/$H$110</f>
        <v>#DIV/0!</v>
      </c>
      <c r="I11" s="188">
        <v>300</v>
      </c>
      <c r="J11" s="115">
        <f t="shared" ref="J11:J17" si="1">I11/$J$110</f>
        <v>6.6874721355327689E-3</v>
      </c>
      <c r="L11" s="70"/>
      <c r="M11" s="70"/>
      <c r="N11" s="70"/>
      <c r="O11" s="70"/>
      <c r="P11" s="70"/>
    </row>
    <row r="12" spans="1:27" x14ac:dyDescent="0.2">
      <c r="A12" s="75">
        <v>2002</v>
      </c>
      <c r="B12" s="267" t="s">
        <v>410</v>
      </c>
      <c r="C12" s="267"/>
      <c r="D12" s="267"/>
      <c r="E12" s="151"/>
      <c r="F12" s="115">
        <f t="shared" si="0"/>
        <v>0</v>
      </c>
      <c r="G12" s="113">
        <v>0</v>
      </c>
      <c r="H12" s="183" t="e">
        <f t="shared" ref="H12:H17" si="2">G12/$H$110</f>
        <v>#DIV/0!</v>
      </c>
      <c r="I12" s="113">
        <v>200</v>
      </c>
      <c r="J12" s="115">
        <f t="shared" si="1"/>
        <v>4.4583147570218459E-3</v>
      </c>
      <c r="L12" s="70"/>
      <c r="M12" s="70"/>
      <c r="N12" s="70"/>
      <c r="O12" s="70"/>
      <c r="P12" s="70"/>
    </row>
    <row r="13" spans="1:27" x14ac:dyDescent="0.2">
      <c r="A13" s="75">
        <v>2003</v>
      </c>
      <c r="B13" s="267" t="s">
        <v>411</v>
      </c>
      <c r="C13" s="267"/>
      <c r="D13" s="267"/>
      <c r="E13" s="114"/>
      <c r="F13" s="115">
        <f t="shared" si="0"/>
        <v>0</v>
      </c>
      <c r="G13" s="113">
        <v>0</v>
      </c>
      <c r="H13" s="183" t="e">
        <f t="shared" si="2"/>
        <v>#DIV/0!</v>
      </c>
      <c r="I13" s="113">
        <v>100</v>
      </c>
      <c r="J13" s="115">
        <f t="shared" si="1"/>
        <v>2.229157378510923E-3</v>
      </c>
      <c r="L13" s="116"/>
      <c r="M13" s="70"/>
      <c r="N13" s="70"/>
      <c r="O13" s="70"/>
      <c r="P13" s="70"/>
    </row>
    <row r="14" spans="1:27" x14ac:dyDescent="0.2">
      <c r="A14" s="75">
        <v>2004</v>
      </c>
      <c r="B14" s="267" t="s">
        <v>412</v>
      </c>
      <c r="C14" s="267"/>
      <c r="D14" s="267"/>
      <c r="E14" s="114"/>
      <c r="F14" s="115">
        <f t="shared" si="0"/>
        <v>0</v>
      </c>
      <c r="G14" s="113">
        <v>0</v>
      </c>
      <c r="H14" s="183" t="e">
        <f t="shared" si="2"/>
        <v>#DIV/0!</v>
      </c>
      <c r="I14" s="113">
        <v>100</v>
      </c>
      <c r="J14" s="115">
        <f t="shared" si="1"/>
        <v>2.229157378510923E-3</v>
      </c>
      <c r="L14" s="116"/>
      <c r="M14" s="70"/>
      <c r="N14" s="70"/>
      <c r="O14" s="70"/>
      <c r="P14" s="70"/>
    </row>
    <row r="15" spans="1:27" x14ac:dyDescent="0.2">
      <c r="A15" s="75">
        <v>2005</v>
      </c>
      <c r="B15" s="268" t="s">
        <v>4</v>
      </c>
      <c r="C15" s="265"/>
      <c r="D15" s="265"/>
      <c r="E15" s="151"/>
      <c r="F15" s="115">
        <f t="shared" si="0"/>
        <v>0</v>
      </c>
      <c r="G15" s="113">
        <v>0</v>
      </c>
      <c r="H15" s="183" t="e">
        <f t="shared" si="2"/>
        <v>#DIV/0!</v>
      </c>
      <c r="I15" s="113">
        <v>0</v>
      </c>
      <c r="J15" s="115">
        <f t="shared" si="1"/>
        <v>0</v>
      </c>
    </row>
    <row r="16" spans="1:27" x14ac:dyDescent="0.2">
      <c r="A16" s="75">
        <v>2006</v>
      </c>
      <c r="B16" s="268" t="s">
        <v>413</v>
      </c>
      <c r="C16" s="265"/>
      <c r="D16" s="265"/>
      <c r="E16" s="114"/>
      <c r="F16" s="115">
        <f t="shared" si="0"/>
        <v>0</v>
      </c>
      <c r="G16" s="113">
        <v>0</v>
      </c>
      <c r="H16" s="183" t="e">
        <f t="shared" si="2"/>
        <v>#DIV/0!</v>
      </c>
      <c r="I16" s="113">
        <v>400</v>
      </c>
      <c r="J16" s="115">
        <f t="shared" si="1"/>
        <v>8.9166295140436919E-3</v>
      </c>
      <c r="K16" s="84"/>
    </row>
    <row r="17" spans="1:15" ht="13.5" customHeight="1" x14ac:dyDescent="0.2">
      <c r="A17" s="75">
        <v>2007</v>
      </c>
      <c r="B17" s="269" t="s">
        <v>414</v>
      </c>
      <c r="C17" s="267"/>
      <c r="D17" s="267"/>
      <c r="E17" s="114"/>
      <c r="F17" s="117">
        <f t="shared" si="0"/>
        <v>0</v>
      </c>
      <c r="G17" s="113">
        <v>0</v>
      </c>
      <c r="H17" s="183" t="e">
        <f t="shared" si="2"/>
        <v>#DIV/0!</v>
      </c>
      <c r="I17" s="113">
        <v>600</v>
      </c>
      <c r="J17" s="115">
        <f t="shared" si="1"/>
        <v>1.3374944271065538E-2</v>
      </c>
    </row>
    <row r="18" spans="1:15" x14ac:dyDescent="0.2">
      <c r="A18" s="76" t="s">
        <v>366</v>
      </c>
      <c r="B18" s="270" t="s">
        <v>383</v>
      </c>
      <c r="C18" s="270"/>
      <c r="D18" s="270"/>
      <c r="E18" s="94"/>
      <c r="F18" s="118">
        <f>SUM(E11:E17)</f>
        <v>0</v>
      </c>
      <c r="G18" s="94"/>
      <c r="H18" s="118">
        <f>SUM(G11:G17)</f>
        <v>0</v>
      </c>
      <c r="I18" s="184"/>
      <c r="J18" s="118">
        <f>SUM(I11:I17)</f>
        <v>1700</v>
      </c>
      <c r="L18" s="119"/>
    </row>
    <row r="19" spans="1:15" ht="15" x14ac:dyDescent="0.2">
      <c r="A19" s="75">
        <v>2100</v>
      </c>
      <c r="B19" s="171" t="s">
        <v>415</v>
      </c>
      <c r="C19" s="168"/>
      <c r="D19" s="170"/>
      <c r="E19" s="171"/>
      <c r="F19" s="172"/>
      <c r="G19" s="171"/>
      <c r="H19" s="171"/>
      <c r="I19" s="171"/>
      <c r="J19" s="171"/>
      <c r="L19" s="120"/>
    </row>
    <row r="20" spans="1:15" x14ac:dyDescent="0.2">
      <c r="A20" s="75">
        <v>2101</v>
      </c>
      <c r="B20" s="268" t="s">
        <v>416</v>
      </c>
      <c r="C20" s="268"/>
      <c r="D20" s="268"/>
      <c r="E20" s="150"/>
      <c r="F20" s="112">
        <f>E20/$F$110</f>
        <v>0</v>
      </c>
      <c r="G20" s="121">
        <v>0</v>
      </c>
      <c r="H20" s="183" t="e">
        <f t="shared" ref="H20:H24" si="3">G20/$H$110</f>
        <v>#DIV/0!</v>
      </c>
      <c r="I20" s="187">
        <f>300</f>
        <v>300</v>
      </c>
      <c r="J20" s="115">
        <f t="shared" ref="J20:J24" si="4">I20/$J$110</f>
        <v>6.6874721355327689E-3</v>
      </c>
    </row>
    <row r="21" spans="1:15" x14ac:dyDescent="0.2">
      <c r="A21" s="75">
        <v>2102</v>
      </c>
      <c r="B21" s="268" t="s">
        <v>417</v>
      </c>
      <c r="C21" s="265"/>
      <c r="D21" s="265"/>
      <c r="E21" s="114"/>
      <c r="F21" s="115">
        <f>E21/$F$110</f>
        <v>0</v>
      </c>
      <c r="G21" s="114">
        <v>0</v>
      </c>
      <c r="H21" s="183" t="e">
        <f t="shared" si="3"/>
        <v>#DIV/0!</v>
      </c>
      <c r="I21" s="114">
        <v>0</v>
      </c>
      <c r="J21" s="115">
        <f t="shared" si="4"/>
        <v>0</v>
      </c>
    </row>
    <row r="22" spans="1:15" x14ac:dyDescent="0.2">
      <c r="A22" s="75">
        <v>2103</v>
      </c>
      <c r="B22" s="265" t="s">
        <v>418</v>
      </c>
      <c r="C22" s="265"/>
      <c r="D22" s="265"/>
      <c r="E22" s="114"/>
      <c r="F22" s="115">
        <f>E22/$F$110</f>
        <v>0</v>
      </c>
      <c r="G22" s="114">
        <v>0</v>
      </c>
      <c r="H22" s="183" t="e">
        <f t="shared" si="3"/>
        <v>#DIV/0!</v>
      </c>
      <c r="I22" s="114">
        <v>450</v>
      </c>
      <c r="J22" s="115">
        <f t="shared" si="4"/>
        <v>1.0031208203299153E-2</v>
      </c>
    </row>
    <row r="23" spans="1:15" x14ac:dyDescent="0.2">
      <c r="A23" s="75">
        <v>2104</v>
      </c>
      <c r="B23" s="267" t="s">
        <v>419</v>
      </c>
      <c r="C23" s="267"/>
      <c r="D23" s="267"/>
      <c r="E23" s="121"/>
      <c r="F23" s="115">
        <f>E23/$F$110</f>
        <v>0</v>
      </c>
      <c r="G23" s="121">
        <v>0</v>
      </c>
      <c r="H23" s="183" t="e">
        <f t="shared" si="3"/>
        <v>#DIV/0!</v>
      </c>
      <c r="I23" s="121">
        <v>0</v>
      </c>
      <c r="J23" s="115">
        <f t="shared" si="4"/>
        <v>0</v>
      </c>
      <c r="N23" s="123"/>
    </row>
    <row r="24" spans="1:15" x14ac:dyDescent="0.2">
      <c r="A24" s="75">
        <v>2105</v>
      </c>
      <c r="B24" s="266" t="s">
        <v>420</v>
      </c>
      <c r="C24" s="267"/>
      <c r="D24" s="267"/>
      <c r="E24" s="153"/>
      <c r="F24" s="115">
        <f>E24/$F$110</f>
        <v>0</v>
      </c>
      <c r="G24" s="121">
        <v>0</v>
      </c>
      <c r="H24" s="183" t="e">
        <f t="shared" si="3"/>
        <v>#DIV/0!</v>
      </c>
      <c r="I24" s="121">
        <f>400</f>
        <v>400</v>
      </c>
      <c r="J24" s="115">
        <f t="shared" si="4"/>
        <v>8.9166295140436919E-3</v>
      </c>
      <c r="N24" s="123"/>
    </row>
    <row r="25" spans="1:15" x14ac:dyDescent="0.2">
      <c r="A25" s="76" t="s">
        <v>382</v>
      </c>
      <c r="B25" s="270" t="s">
        <v>383</v>
      </c>
      <c r="C25" s="270"/>
      <c r="D25" s="270"/>
      <c r="E25" s="94"/>
      <c r="F25" s="118">
        <f>SUM(E20:E24)</f>
        <v>0</v>
      </c>
      <c r="G25" s="94"/>
      <c r="H25" s="118">
        <f>SUM(G20:G24)</f>
        <v>0</v>
      </c>
      <c r="I25" s="94"/>
      <c r="J25" s="118">
        <f>SUM(I20:I24)</f>
        <v>1150</v>
      </c>
      <c r="N25" s="119"/>
    </row>
    <row r="26" spans="1:15" ht="15" x14ac:dyDescent="0.2">
      <c r="A26" s="75">
        <v>2300</v>
      </c>
      <c r="B26" s="171" t="s">
        <v>421</v>
      </c>
      <c r="C26" s="171"/>
      <c r="D26" s="171"/>
      <c r="E26" s="171"/>
      <c r="F26" s="172"/>
      <c r="G26" s="171"/>
      <c r="H26" s="171"/>
      <c r="I26" s="171"/>
      <c r="J26" s="171"/>
      <c r="N26" s="119"/>
      <c r="O26" s="110"/>
    </row>
    <row r="27" spans="1:15" x14ac:dyDescent="0.2">
      <c r="A27" s="75">
        <v>2302</v>
      </c>
      <c r="B27" s="266" t="s">
        <v>422</v>
      </c>
      <c r="C27" s="267"/>
      <c r="D27" s="267"/>
      <c r="E27" s="155"/>
      <c r="F27" s="112">
        <f>E27/$F$110</f>
        <v>0</v>
      </c>
      <c r="G27" s="114">
        <v>0</v>
      </c>
      <c r="H27" s="183" t="e">
        <f t="shared" ref="H27:H31" si="5">G27/$H$110</f>
        <v>#DIV/0!</v>
      </c>
      <c r="I27" s="186">
        <v>400</v>
      </c>
      <c r="J27" s="115">
        <f t="shared" ref="J27:J31" si="6">I27/$J$110</f>
        <v>8.9166295140436919E-3</v>
      </c>
      <c r="N27" s="124"/>
    </row>
    <row r="28" spans="1:15" x14ac:dyDescent="0.2">
      <c r="A28" s="75">
        <v>2303</v>
      </c>
      <c r="B28" s="266" t="s">
        <v>423</v>
      </c>
      <c r="C28" s="267"/>
      <c r="D28" s="267"/>
      <c r="E28" s="114"/>
      <c r="F28" s="146">
        <f>E28/$F$110</f>
        <v>0</v>
      </c>
      <c r="G28" s="114">
        <v>0</v>
      </c>
      <c r="H28" s="183" t="e">
        <f t="shared" si="5"/>
        <v>#DIV/0!</v>
      </c>
      <c r="I28" s="114">
        <f>400+150</f>
        <v>550</v>
      </c>
      <c r="J28" s="115">
        <f t="shared" si="6"/>
        <v>1.2260365581810076E-2</v>
      </c>
    </row>
    <row r="29" spans="1:15" x14ac:dyDescent="0.2">
      <c r="A29" s="75">
        <v>2304</v>
      </c>
      <c r="B29" s="266" t="s">
        <v>424</v>
      </c>
      <c r="C29" s="267"/>
      <c r="D29" s="267"/>
      <c r="E29" s="204"/>
      <c r="F29" s="146">
        <f>E29/$F$110</f>
        <v>0</v>
      </c>
      <c r="G29" s="114">
        <v>0</v>
      </c>
      <c r="H29" s="183" t="e">
        <f t="shared" si="5"/>
        <v>#DIV/0!</v>
      </c>
      <c r="I29" s="114">
        <f>5000+1000</f>
        <v>6000</v>
      </c>
      <c r="J29" s="115">
        <f t="shared" si="6"/>
        <v>0.13374944271065536</v>
      </c>
    </row>
    <row r="30" spans="1:15" x14ac:dyDescent="0.2">
      <c r="A30" s="75">
        <v>2306</v>
      </c>
      <c r="B30" s="266" t="s">
        <v>425</v>
      </c>
      <c r="C30" s="267"/>
      <c r="D30" s="267"/>
      <c r="E30" s="150"/>
      <c r="F30" s="115">
        <f>E30/$F$110</f>
        <v>0</v>
      </c>
      <c r="G30" s="121">
        <v>0</v>
      </c>
      <c r="H30" s="183" t="e">
        <f t="shared" si="5"/>
        <v>#DIV/0!</v>
      </c>
      <c r="I30" s="121">
        <v>500</v>
      </c>
      <c r="J30" s="115">
        <f t="shared" si="6"/>
        <v>1.1145786892554615E-2</v>
      </c>
    </row>
    <row r="31" spans="1:15" x14ac:dyDescent="0.2">
      <c r="A31" s="75">
        <v>2307</v>
      </c>
      <c r="B31" s="271" t="s">
        <v>426</v>
      </c>
      <c r="C31" s="272"/>
      <c r="D31" s="273"/>
      <c r="E31" s="121"/>
      <c r="F31" s="115">
        <f>E31/$F$110</f>
        <v>0</v>
      </c>
      <c r="G31" s="121">
        <v>0</v>
      </c>
      <c r="H31" s="183" t="e">
        <f t="shared" si="5"/>
        <v>#DIV/0!</v>
      </c>
      <c r="I31" s="121">
        <v>0</v>
      </c>
      <c r="J31" s="115">
        <f t="shared" si="6"/>
        <v>0</v>
      </c>
    </row>
    <row r="32" spans="1:15" x14ac:dyDescent="0.2">
      <c r="A32" s="76" t="s">
        <v>405</v>
      </c>
      <c r="B32" s="270" t="s">
        <v>383</v>
      </c>
      <c r="C32" s="270"/>
      <c r="D32" s="270"/>
      <c r="E32" s="125"/>
      <c r="F32" s="126">
        <f>SUM(E27:E31)</f>
        <v>0</v>
      </c>
      <c r="G32" s="125"/>
      <c r="H32" s="118">
        <f>SUM(G27:G31)</f>
        <v>0</v>
      </c>
      <c r="I32" s="125"/>
      <c r="J32" s="118">
        <f>SUM(I27:I31)</f>
        <v>7450</v>
      </c>
    </row>
    <row r="33" spans="1:11" ht="15" x14ac:dyDescent="0.2">
      <c r="A33" s="75">
        <v>2400</v>
      </c>
      <c r="B33" s="171" t="s">
        <v>427</v>
      </c>
      <c r="C33" s="171"/>
      <c r="D33" s="171"/>
      <c r="E33" s="171"/>
      <c r="F33" s="172"/>
      <c r="G33" s="171"/>
      <c r="H33" s="171"/>
      <c r="I33" s="171"/>
      <c r="J33" s="171"/>
    </row>
    <row r="34" spans="1:11" x14ac:dyDescent="0.2">
      <c r="A34" s="75">
        <v>2401</v>
      </c>
      <c r="B34" s="267" t="s">
        <v>428</v>
      </c>
      <c r="C34" s="267"/>
      <c r="D34" s="267"/>
      <c r="E34" s="114"/>
      <c r="F34" s="112">
        <f t="shared" ref="F34:F41" si="7">E34/$F$110</f>
        <v>0</v>
      </c>
      <c r="G34" s="114">
        <v>0</v>
      </c>
      <c r="H34" s="183" t="e">
        <f t="shared" ref="H34:H41" si="8">G34/$H$110</f>
        <v>#DIV/0!</v>
      </c>
      <c r="I34" s="186">
        <v>100</v>
      </c>
      <c r="J34" s="115">
        <f t="shared" ref="J34:J41" si="9">I34/$J$110</f>
        <v>2.229157378510923E-3</v>
      </c>
    </row>
    <row r="35" spans="1:11" x14ac:dyDescent="0.2">
      <c r="A35" s="75">
        <v>2402</v>
      </c>
      <c r="B35" s="266" t="s">
        <v>429</v>
      </c>
      <c r="C35" s="267"/>
      <c r="D35" s="267"/>
      <c r="E35" s="114"/>
      <c r="F35" s="115">
        <f t="shared" si="7"/>
        <v>0</v>
      </c>
      <c r="G35" s="114">
        <v>0</v>
      </c>
      <c r="H35" s="183" t="e">
        <f t="shared" si="8"/>
        <v>#DIV/0!</v>
      </c>
      <c r="I35" s="114">
        <v>100</v>
      </c>
      <c r="J35" s="115">
        <f t="shared" si="9"/>
        <v>2.229157378510923E-3</v>
      </c>
    </row>
    <row r="36" spans="1:11" x14ac:dyDescent="0.2">
      <c r="A36" s="75">
        <v>2403</v>
      </c>
      <c r="B36" s="267" t="s">
        <v>430</v>
      </c>
      <c r="C36" s="267"/>
      <c r="D36" s="267"/>
      <c r="E36" s="114"/>
      <c r="F36" s="115">
        <f t="shared" si="7"/>
        <v>0</v>
      </c>
      <c r="G36" s="114">
        <v>0</v>
      </c>
      <c r="H36" s="183" t="e">
        <f t="shared" si="8"/>
        <v>#DIV/0!</v>
      </c>
      <c r="I36" s="114">
        <v>0</v>
      </c>
      <c r="J36" s="115">
        <f t="shared" si="9"/>
        <v>0</v>
      </c>
    </row>
    <row r="37" spans="1:11" x14ac:dyDescent="0.2">
      <c r="A37" s="75">
        <v>2404</v>
      </c>
      <c r="B37" s="267" t="s">
        <v>431</v>
      </c>
      <c r="C37" s="267"/>
      <c r="D37" s="267"/>
      <c r="E37" s="121"/>
      <c r="F37" s="115">
        <f t="shared" si="7"/>
        <v>0</v>
      </c>
      <c r="G37" s="121">
        <v>0</v>
      </c>
      <c r="H37" s="183" t="e">
        <f t="shared" si="8"/>
        <v>#DIV/0!</v>
      </c>
      <c r="I37" s="121">
        <v>0</v>
      </c>
      <c r="J37" s="115">
        <f t="shared" si="9"/>
        <v>0</v>
      </c>
    </row>
    <row r="38" spans="1:11" x14ac:dyDescent="0.2">
      <c r="A38" s="75">
        <v>2405</v>
      </c>
      <c r="B38" s="276" t="s">
        <v>432</v>
      </c>
      <c r="C38" s="277"/>
      <c r="D38" s="277"/>
      <c r="E38" s="121"/>
      <c r="F38" s="115">
        <f t="shared" si="7"/>
        <v>0</v>
      </c>
      <c r="G38" s="121">
        <v>0</v>
      </c>
      <c r="H38" s="183" t="e">
        <f t="shared" si="8"/>
        <v>#DIV/0!</v>
      </c>
      <c r="I38" s="121">
        <v>1100</v>
      </c>
      <c r="J38" s="115">
        <f t="shared" si="9"/>
        <v>2.4520731163620153E-2</v>
      </c>
    </row>
    <row r="39" spans="1:11" x14ac:dyDescent="0.2">
      <c r="A39" s="75">
        <v>2406</v>
      </c>
      <c r="B39" s="271" t="s">
        <v>433</v>
      </c>
      <c r="C39" s="272"/>
      <c r="D39" s="273"/>
      <c r="E39" s="113"/>
      <c r="F39" s="146">
        <f t="shared" si="7"/>
        <v>0</v>
      </c>
      <c r="G39" s="113">
        <v>0</v>
      </c>
      <c r="H39" s="183" t="e">
        <f t="shared" si="8"/>
        <v>#DIV/0!</v>
      </c>
      <c r="I39" s="113">
        <f>1000+500</f>
        <v>1500</v>
      </c>
      <c r="J39" s="115">
        <f t="shared" si="9"/>
        <v>3.3437360677663841E-2</v>
      </c>
    </row>
    <row r="40" spans="1:11" x14ac:dyDescent="0.2">
      <c r="A40" s="75">
        <v>2407</v>
      </c>
      <c r="B40" s="271" t="s">
        <v>434</v>
      </c>
      <c r="C40" s="272"/>
      <c r="D40" s="273"/>
      <c r="E40" s="113"/>
      <c r="F40" s="146">
        <f t="shared" si="7"/>
        <v>0</v>
      </c>
      <c r="G40" s="113">
        <v>0</v>
      </c>
      <c r="H40" s="183" t="e">
        <f t="shared" si="8"/>
        <v>#DIV/0!</v>
      </c>
      <c r="I40" s="113">
        <v>2000</v>
      </c>
      <c r="J40" s="115">
        <f t="shared" si="9"/>
        <v>4.4583147570218459E-2</v>
      </c>
    </row>
    <row r="41" spans="1:11" x14ac:dyDescent="0.2">
      <c r="A41" s="75">
        <v>2408</v>
      </c>
      <c r="B41" s="274" t="s">
        <v>435</v>
      </c>
      <c r="C41" s="275"/>
      <c r="D41" s="275"/>
      <c r="E41" s="114"/>
      <c r="F41" s="146">
        <f t="shared" si="7"/>
        <v>0</v>
      </c>
      <c r="G41" s="114">
        <v>0</v>
      </c>
      <c r="H41" s="183" t="e">
        <f t="shared" si="8"/>
        <v>#DIV/0!</v>
      </c>
      <c r="I41" s="114">
        <f>revenus!I29</f>
        <v>0</v>
      </c>
      <c r="J41" s="115">
        <f t="shared" si="9"/>
        <v>0</v>
      </c>
    </row>
    <row r="42" spans="1:11" x14ac:dyDescent="0.2">
      <c r="A42" s="76" t="s">
        <v>436</v>
      </c>
      <c r="B42" s="270" t="s">
        <v>383</v>
      </c>
      <c r="C42" s="270"/>
      <c r="D42" s="270"/>
      <c r="E42" s="94"/>
      <c r="F42" s="118">
        <f>SUM(E34:E41)</f>
        <v>0</v>
      </c>
      <c r="G42" s="94"/>
      <c r="H42" s="118">
        <f>SUM(G34:G41)</f>
        <v>0</v>
      </c>
      <c r="I42" s="94"/>
      <c r="J42" s="118">
        <f>SUM(I34:I41)</f>
        <v>4800</v>
      </c>
    </row>
    <row r="43" spans="1:11" ht="15" x14ac:dyDescent="0.2">
      <c r="A43" s="127">
        <v>2500</v>
      </c>
      <c r="B43" s="171" t="s">
        <v>437</v>
      </c>
      <c r="C43" s="171"/>
      <c r="D43" s="171"/>
      <c r="E43" s="171"/>
      <c r="F43" s="172"/>
      <c r="G43" s="171"/>
      <c r="H43" s="171"/>
      <c r="I43" s="171"/>
      <c r="J43" s="171"/>
    </row>
    <row r="44" spans="1:11" x14ac:dyDescent="0.2">
      <c r="A44" s="127">
        <v>2501</v>
      </c>
      <c r="B44" s="267" t="s">
        <v>438</v>
      </c>
      <c r="C44" s="267"/>
      <c r="D44" s="267"/>
      <c r="E44" s="114"/>
      <c r="F44" s="112">
        <f>E44/$F$110</f>
        <v>0</v>
      </c>
      <c r="G44" s="122"/>
      <c r="H44" s="183" t="e">
        <f t="shared" ref="H44" si="10">G44/$H$110</f>
        <v>#DIV/0!</v>
      </c>
      <c r="I44" s="189">
        <v>500</v>
      </c>
      <c r="J44" s="115">
        <f>I44/$J$110</f>
        <v>1.1145786892554615E-2</v>
      </c>
      <c r="K44" s="84"/>
    </row>
    <row r="45" spans="1:11" x14ac:dyDescent="0.2">
      <c r="A45" s="76" t="s">
        <v>439</v>
      </c>
      <c r="B45" s="252" t="s">
        <v>383</v>
      </c>
      <c r="C45" s="253"/>
      <c r="D45" s="254"/>
      <c r="E45" s="94"/>
      <c r="F45" s="118">
        <f>SUM(E44:E44)</f>
        <v>0</v>
      </c>
      <c r="G45" s="94"/>
      <c r="H45" s="118">
        <f>G44</f>
        <v>0</v>
      </c>
      <c r="I45" s="94"/>
      <c r="J45" s="118">
        <f>I44</f>
        <v>500</v>
      </c>
    </row>
    <row r="46" spans="1:11" x14ac:dyDescent="0.2">
      <c r="A46" s="76"/>
      <c r="B46" s="128"/>
      <c r="C46" s="128"/>
      <c r="D46" s="128"/>
      <c r="E46" s="148"/>
      <c r="F46" s="129"/>
      <c r="G46" s="116"/>
      <c r="H46" s="129"/>
      <c r="I46" s="116"/>
      <c r="J46" s="129"/>
    </row>
    <row r="47" spans="1:11" x14ac:dyDescent="0.2">
      <c r="A47" s="76"/>
      <c r="B47" s="128"/>
      <c r="C47" s="128"/>
      <c r="D47" s="128"/>
      <c r="E47" s="148"/>
      <c r="F47" s="129"/>
      <c r="G47" s="116"/>
      <c r="H47" s="129"/>
      <c r="I47" s="116"/>
      <c r="J47" s="129"/>
    </row>
    <row r="48" spans="1:11" x14ac:dyDescent="0.2">
      <c r="A48" s="76"/>
      <c r="B48" s="128"/>
      <c r="C48" s="128"/>
      <c r="D48" s="128"/>
      <c r="E48" s="148"/>
      <c r="F48" s="129"/>
      <c r="G48" s="116"/>
      <c r="H48" s="129"/>
      <c r="I48" s="116"/>
      <c r="J48" s="129"/>
    </row>
    <row r="49" spans="1:10" s="84" customFormat="1" x14ac:dyDescent="0.2">
      <c r="A49" s="127"/>
      <c r="B49" s="130"/>
      <c r="C49" s="130"/>
      <c r="D49" s="130"/>
      <c r="E49" s="149"/>
      <c r="F49" s="131"/>
      <c r="G49" s="132"/>
      <c r="H49" s="131"/>
      <c r="I49" s="132"/>
      <c r="J49" s="131"/>
    </row>
    <row r="50" spans="1:10" s="84" customFormat="1" x14ac:dyDescent="0.2">
      <c r="A50" s="127"/>
      <c r="B50" s="130"/>
      <c r="C50" s="130"/>
      <c r="D50" s="130"/>
      <c r="E50" s="149"/>
      <c r="F50" s="131"/>
      <c r="G50" s="132"/>
      <c r="H50" s="131"/>
      <c r="I50" s="132"/>
      <c r="J50" s="131"/>
    </row>
    <row r="51" spans="1:10" s="84" customFormat="1" x14ac:dyDescent="0.2">
      <c r="A51" s="130"/>
      <c r="B51" s="130"/>
      <c r="C51" s="130"/>
      <c r="D51" s="130"/>
      <c r="E51" s="149"/>
      <c r="F51" s="131"/>
      <c r="G51" s="64"/>
      <c r="H51" s="131"/>
      <c r="I51" s="64"/>
      <c r="J51" s="131"/>
    </row>
    <row r="52" spans="1:10" s="84" customFormat="1" x14ac:dyDescent="0.2">
      <c r="A52" s="130"/>
      <c r="B52" s="130"/>
      <c r="C52" s="130"/>
      <c r="D52" s="130"/>
      <c r="E52" s="149"/>
      <c r="F52" s="131"/>
      <c r="G52" s="64"/>
      <c r="H52" s="131"/>
      <c r="I52" s="64"/>
      <c r="J52" s="131"/>
    </row>
    <row r="53" spans="1:10" s="84" customFormat="1" x14ac:dyDescent="0.2">
      <c r="A53" s="130"/>
      <c r="B53" s="130"/>
      <c r="C53" s="130"/>
      <c r="D53" s="130"/>
      <c r="E53" s="149"/>
      <c r="F53" s="131"/>
      <c r="G53" s="64"/>
      <c r="H53" s="131"/>
      <c r="I53" s="64"/>
      <c r="J53" s="131"/>
    </row>
    <row r="54" spans="1:10" x14ac:dyDescent="0.2">
      <c r="B54" s="128"/>
      <c r="C54" s="128"/>
      <c r="D54" s="128"/>
      <c r="E54" s="148"/>
      <c r="F54" s="129"/>
      <c r="H54" s="129"/>
      <c r="I54" s="70"/>
      <c r="J54" s="129"/>
    </row>
    <row r="55" spans="1:10" x14ac:dyDescent="0.2">
      <c r="B55" s="128"/>
      <c r="C55" s="128"/>
      <c r="D55" s="128"/>
      <c r="E55" s="148"/>
      <c r="F55" s="129"/>
      <c r="H55" s="129"/>
      <c r="I55" s="70"/>
      <c r="J55" s="129"/>
    </row>
    <row r="56" spans="1:10" x14ac:dyDescent="0.2">
      <c r="A56" s="128"/>
      <c r="B56" s="128"/>
      <c r="C56" s="128"/>
      <c r="D56" s="128"/>
      <c r="E56" s="148"/>
      <c r="F56" s="129"/>
      <c r="G56" s="116"/>
      <c r="H56" s="129"/>
      <c r="I56" s="116"/>
      <c r="J56" s="129"/>
    </row>
    <row r="57" spans="1:10" x14ac:dyDescent="0.2">
      <c r="A57" s="128"/>
      <c r="B57" s="128"/>
      <c r="C57" s="128"/>
      <c r="D57" s="128"/>
      <c r="E57" s="148"/>
      <c r="F57" s="129"/>
      <c r="G57" s="116"/>
      <c r="H57" s="129"/>
      <c r="I57" s="116"/>
      <c r="J57" s="129"/>
    </row>
    <row r="58" spans="1:10" ht="20.25" x14ac:dyDescent="0.2">
      <c r="B58" s="258" t="s">
        <v>359</v>
      </c>
      <c r="C58" s="259"/>
      <c r="D58" s="259"/>
      <c r="E58" s="259"/>
      <c r="F58" s="259"/>
      <c r="G58" s="259"/>
      <c r="H58" s="259"/>
      <c r="I58" s="259"/>
      <c r="J58" s="260"/>
    </row>
    <row r="59" spans="1:10" ht="15.75" x14ac:dyDescent="0.25">
      <c r="A59" s="111"/>
      <c r="B59" s="261" t="s">
        <v>360</v>
      </c>
      <c r="C59" s="262"/>
      <c r="D59" s="262"/>
      <c r="E59" s="262"/>
      <c r="F59" s="262"/>
      <c r="G59" s="262"/>
      <c r="H59" s="262"/>
      <c r="I59" s="262"/>
      <c r="J59" s="263"/>
    </row>
    <row r="60" spans="1:10" ht="15" x14ac:dyDescent="0.25">
      <c r="A60" s="111"/>
      <c r="B60" s="236" t="s">
        <v>408</v>
      </c>
      <c r="C60" s="264"/>
      <c r="D60" s="237"/>
      <c r="E60" s="236" t="s">
        <v>478</v>
      </c>
      <c r="F60" s="237"/>
      <c r="G60" s="236" t="s">
        <v>362</v>
      </c>
      <c r="H60" s="237"/>
      <c r="I60" s="236" t="s">
        <v>362</v>
      </c>
      <c r="J60" s="237"/>
    </row>
    <row r="61" spans="1:10" ht="15" x14ac:dyDescent="0.2">
      <c r="A61" s="75">
        <v>2600</v>
      </c>
      <c r="B61" s="168" t="s">
        <v>440</v>
      </c>
      <c r="C61" s="169"/>
      <c r="D61" s="169"/>
      <c r="E61" s="169"/>
      <c r="F61" s="169"/>
      <c r="G61" s="169"/>
      <c r="H61" s="170"/>
      <c r="I61" s="169"/>
      <c r="J61" s="170"/>
    </row>
    <row r="62" spans="1:10" x14ac:dyDescent="0.2">
      <c r="A62" s="75">
        <v>2601</v>
      </c>
      <c r="B62" s="278" t="s">
        <v>441</v>
      </c>
      <c r="C62" s="279"/>
      <c r="D62" s="280"/>
      <c r="E62" s="122"/>
      <c r="F62" s="115">
        <f t="shared" ref="F62:F75" si="11">E62/$F$110</f>
        <v>0</v>
      </c>
      <c r="G62" s="122">
        <v>0</v>
      </c>
      <c r="H62" s="183" t="e">
        <f t="shared" ref="H62:H75" si="12">G62/$H$110</f>
        <v>#DIV/0!</v>
      </c>
      <c r="I62" s="122">
        <v>0</v>
      </c>
      <c r="J62" s="115">
        <f t="shared" ref="J62:J75" si="13">I62/$J$110</f>
        <v>0</v>
      </c>
    </row>
    <row r="63" spans="1:10" x14ac:dyDescent="0.2">
      <c r="A63" s="75">
        <v>2602</v>
      </c>
      <c r="B63" s="281" t="s">
        <v>442</v>
      </c>
      <c r="C63" s="282"/>
      <c r="D63" s="283"/>
      <c r="E63" s="122"/>
      <c r="F63" s="115">
        <f t="shared" si="11"/>
        <v>0</v>
      </c>
      <c r="G63" s="122">
        <v>0</v>
      </c>
      <c r="H63" s="183" t="e">
        <f t="shared" si="12"/>
        <v>#DIV/0!</v>
      </c>
      <c r="I63" s="122">
        <v>0</v>
      </c>
      <c r="J63" s="115">
        <f t="shared" si="13"/>
        <v>0</v>
      </c>
    </row>
    <row r="64" spans="1:10" x14ac:dyDescent="0.2">
      <c r="A64" s="75">
        <v>2603</v>
      </c>
      <c r="B64" s="281" t="s">
        <v>443</v>
      </c>
      <c r="C64" s="282"/>
      <c r="D64" s="283"/>
      <c r="E64" s="157"/>
      <c r="F64" s="115">
        <f t="shared" si="11"/>
        <v>0</v>
      </c>
      <c r="G64" s="122">
        <v>0</v>
      </c>
      <c r="H64" s="183" t="e">
        <f t="shared" si="12"/>
        <v>#DIV/0!</v>
      </c>
      <c r="I64" s="122">
        <v>0</v>
      </c>
      <c r="J64" s="115">
        <f t="shared" si="13"/>
        <v>0</v>
      </c>
    </row>
    <row r="65" spans="1:14" x14ac:dyDescent="0.2">
      <c r="A65" s="75">
        <v>2604</v>
      </c>
      <c r="B65" s="281" t="s">
        <v>444</v>
      </c>
      <c r="C65" s="282"/>
      <c r="D65" s="283"/>
      <c r="E65" s="154"/>
      <c r="F65" s="146">
        <f t="shared" si="11"/>
        <v>0</v>
      </c>
      <c r="G65" s="133">
        <v>0</v>
      </c>
      <c r="H65" s="183" t="e">
        <f t="shared" si="12"/>
        <v>#DIV/0!</v>
      </c>
      <c r="I65" s="133">
        <f>500</f>
        <v>500</v>
      </c>
      <c r="J65" s="115">
        <f t="shared" si="13"/>
        <v>1.1145786892554615E-2</v>
      </c>
    </row>
    <row r="66" spans="1:14" x14ac:dyDescent="0.2">
      <c r="A66" s="75">
        <v>2605</v>
      </c>
      <c r="B66" s="271" t="s">
        <v>445</v>
      </c>
      <c r="C66" s="282"/>
      <c r="D66" s="283"/>
      <c r="E66" s="133"/>
      <c r="F66" s="146">
        <f t="shared" si="11"/>
        <v>0</v>
      </c>
      <c r="G66" s="133">
        <v>0</v>
      </c>
      <c r="H66" s="183" t="e">
        <f t="shared" si="12"/>
        <v>#DIV/0!</v>
      </c>
      <c r="I66" s="133">
        <v>300</v>
      </c>
      <c r="J66" s="115">
        <f t="shared" si="13"/>
        <v>6.6874721355327689E-3</v>
      </c>
      <c r="M66" s="110"/>
    </row>
    <row r="67" spans="1:14" x14ac:dyDescent="0.2">
      <c r="A67" s="75">
        <v>2606</v>
      </c>
      <c r="B67" s="281" t="s">
        <v>446</v>
      </c>
      <c r="C67" s="282"/>
      <c r="D67" s="283"/>
      <c r="E67" s="133"/>
      <c r="F67" s="146">
        <f t="shared" si="11"/>
        <v>0</v>
      </c>
      <c r="G67" s="133">
        <v>0</v>
      </c>
      <c r="H67" s="183" t="e">
        <f t="shared" si="12"/>
        <v>#DIV/0!</v>
      </c>
      <c r="I67" s="133">
        <v>300</v>
      </c>
      <c r="J67" s="115">
        <f t="shared" si="13"/>
        <v>6.6874721355327689E-3</v>
      </c>
    </row>
    <row r="68" spans="1:14" x14ac:dyDescent="0.2">
      <c r="A68" s="75">
        <v>2607</v>
      </c>
      <c r="B68" s="266" t="s">
        <v>447</v>
      </c>
      <c r="C68" s="267"/>
      <c r="D68" s="267"/>
      <c r="E68" s="133"/>
      <c r="F68" s="146">
        <f t="shared" si="11"/>
        <v>0</v>
      </c>
      <c r="G68" s="133">
        <v>0</v>
      </c>
      <c r="H68" s="183" t="e">
        <f t="shared" si="12"/>
        <v>#DIV/0!</v>
      </c>
      <c r="I68" s="133">
        <v>700</v>
      </c>
      <c r="J68" s="115">
        <f t="shared" si="13"/>
        <v>1.5604101649576461E-2</v>
      </c>
    </row>
    <row r="69" spans="1:14" x14ac:dyDescent="0.2">
      <c r="A69" s="75">
        <v>2609</v>
      </c>
      <c r="B69" s="266" t="s">
        <v>448</v>
      </c>
      <c r="C69" s="267"/>
      <c r="D69" s="267"/>
      <c r="E69" s="133"/>
      <c r="F69" s="146">
        <f t="shared" si="11"/>
        <v>0</v>
      </c>
      <c r="G69" s="133">
        <v>0</v>
      </c>
      <c r="H69" s="183" t="e">
        <f t="shared" si="12"/>
        <v>#DIV/0!</v>
      </c>
      <c r="I69" s="133">
        <v>4000</v>
      </c>
      <c r="J69" s="115">
        <f t="shared" si="13"/>
        <v>8.9166295140436919E-2</v>
      </c>
    </row>
    <row r="70" spans="1:14" x14ac:dyDescent="0.2">
      <c r="A70" s="75">
        <v>2610</v>
      </c>
      <c r="B70" s="271" t="s">
        <v>449</v>
      </c>
      <c r="C70" s="282"/>
      <c r="D70" s="283"/>
      <c r="E70" s="133"/>
      <c r="F70" s="146">
        <f t="shared" si="11"/>
        <v>0</v>
      </c>
      <c r="G70" s="133">
        <v>0</v>
      </c>
      <c r="H70" s="183" t="e">
        <f t="shared" si="12"/>
        <v>#DIV/0!</v>
      </c>
      <c r="I70" s="133">
        <v>300</v>
      </c>
      <c r="J70" s="115">
        <f t="shared" si="13"/>
        <v>6.6874721355327689E-3</v>
      </c>
    </row>
    <row r="71" spans="1:14" x14ac:dyDescent="0.2">
      <c r="A71" s="75">
        <v>2611</v>
      </c>
      <c r="B71" s="266" t="s">
        <v>450</v>
      </c>
      <c r="C71" s="267"/>
      <c r="D71" s="267"/>
      <c r="E71" s="94"/>
      <c r="F71" s="146">
        <f t="shared" si="11"/>
        <v>0</v>
      </c>
      <c r="G71" s="94">
        <v>0</v>
      </c>
      <c r="H71" s="183" t="e">
        <f t="shared" si="12"/>
        <v>#DIV/0!</v>
      </c>
      <c r="I71" s="94">
        <f>4850+150</f>
        <v>5000</v>
      </c>
      <c r="J71" s="115">
        <f t="shared" si="13"/>
        <v>0.11145786892554614</v>
      </c>
      <c r="K71" s="84"/>
    </row>
    <row r="72" spans="1:14" x14ac:dyDescent="0.2">
      <c r="A72" s="75">
        <v>2612</v>
      </c>
      <c r="B72" s="271" t="s">
        <v>451</v>
      </c>
      <c r="C72" s="272"/>
      <c r="D72" s="273"/>
      <c r="E72" s="147"/>
      <c r="F72" s="146">
        <f t="shared" si="11"/>
        <v>0</v>
      </c>
      <c r="G72" s="147">
        <v>0</v>
      </c>
      <c r="H72" s="183" t="e">
        <f t="shared" si="12"/>
        <v>#DIV/0!</v>
      </c>
      <c r="I72" s="147">
        <f>800</f>
        <v>800</v>
      </c>
      <c r="J72" s="115">
        <f t="shared" si="13"/>
        <v>1.7833259028087384E-2</v>
      </c>
      <c r="K72" s="84"/>
      <c r="N72" s="85"/>
    </row>
    <row r="73" spans="1:14" x14ac:dyDescent="0.2">
      <c r="A73" s="75">
        <v>2613</v>
      </c>
      <c r="B73" s="266" t="s">
        <v>452</v>
      </c>
      <c r="C73" s="267"/>
      <c r="D73" s="267"/>
      <c r="E73" s="133"/>
      <c r="F73" s="146">
        <f t="shared" si="11"/>
        <v>0</v>
      </c>
      <c r="G73" s="133">
        <v>0</v>
      </c>
      <c r="H73" s="183" t="e">
        <f t="shared" si="12"/>
        <v>#DIV/0!</v>
      </c>
      <c r="I73" s="133">
        <v>300</v>
      </c>
      <c r="J73" s="115">
        <f t="shared" si="13"/>
        <v>6.6874721355327689E-3</v>
      </c>
      <c r="N73" s="85"/>
    </row>
    <row r="74" spans="1:14" x14ac:dyDescent="0.2">
      <c r="A74" s="75">
        <v>2614</v>
      </c>
      <c r="B74" s="271" t="s">
        <v>453</v>
      </c>
      <c r="C74" s="272"/>
      <c r="D74" s="273"/>
      <c r="E74" s="133"/>
      <c r="F74" s="146">
        <f t="shared" si="11"/>
        <v>0</v>
      </c>
      <c r="G74" s="133">
        <v>0</v>
      </c>
      <c r="H74" s="183" t="e">
        <f t="shared" si="12"/>
        <v>#DIV/0!</v>
      </c>
      <c r="I74" s="133">
        <v>2000</v>
      </c>
      <c r="J74" s="115">
        <f t="shared" si="13"/>
        <v>4.4583147570218459E-2</v>
      </c>
      <c r="N74" s="85"/>
    </row>
    <row r="75" spans="1:14" x14ac:dyDescent="0.2">
      <c r="A75" s="75">
        <v>2615</v>
      </c>
      <c r="B75" s="266" t="s">
        <v>454</v>
      </c>
      <c r="C75" s="267"/>
      <c r="D75" s="267"/>
      <c r="E75" s="133"/>
      <c r="F75" s="115">
        <f t="shared" si="11"/>
        <v>0</v>
      </c>
      <c r="G75" s="122">
        <f>0</f>
        <v>0</v>
      </c>
      <c r="H75" s="183" t="e">
        <f t="shared" si="12"/>
        <v>#DIV/0!</v>
      </c>
      <c r="I75" s="122">
        <f>0</f>
        <v>0</v>
      </c>
      <c r="J75" s="115">
        <f t="shared" si="13"/>
        <v>0</v>
      </c>
    </row>
    <row r="76" spans="1:14" x14ac:dyDescent="0.2">
      <c r="A76" s="76" t="s">
        <v>455</v>
      </c>
      <c r="B76" s="252" t="s">
        <v>383</v>
      </c>
      <c r="C76" s="253"/>
      <c r="D76" s="253"/>
      <c r="E76" s="184"/>
      <c r="F76" s="134">
        <f>SUM(E62:E75)</f>
        <v>0</v>
      </c>
      <c r="G76" s="113"/>
      <c r="H76" s="134">
        <f>SUM(G62:G75)</f>
        <v>0</v>
      </c>
      <c r="I76" s="113"/>
      <c r="J76" s="134">
        <f>SUM(I62:I75)</f>
        <v>14200</v>
      </c>
    </row>
    <row r="77" spans="1:14" x14ac:dyDescent="0.2">
      <c r="A77" s="75">
        <v>2700</v>
      </c>
      <c r="B77" s="165" t="s">
        <v>456</v>
      </c>
      <c r="C77" s="166"/>
      <c r="D77" s="166"/>
      <c r="E77" s="166"/>
      <c r="F77" s="166"/>
      <c r="G77" s="166"/>
      <c r="H77" s="167"/>
      <c r="I77" s="166"/>
      <c r="J77" s="167"/>
    </row>
    <row r="78" spans="1:14" x14ac:dyDescent="0.2">
      <c r="A78" s="75">
        <v>2701</v>
      </c>
      <c r="B78" s="275" t="s">
        <v>457</v>
      </c>
      <c r="C78" s="275"/>
      <c r="D78" s="275"/>
      <c r="E78" s="92"/>
      <c r="F78" s="115">
        <f>E78/$F$110</f>
        <v>0</v>
      </c>
      <c r="G78" s="92">
        <v>0</v>
      </c>
      <c r="H78" s="183" t="e">
        <f t="shared" ref="H78:H85" si="14">G78/$H$110</f>
        <v>#DIV/0!</v>
      </c>
      <c r="I78" s="92">
        <v>600</v>
      </c>
      <c r="J78" s="115">
        <f t="shared" ref="J78:J85" si="15">I78/$J$110</f>
        <v>1.3374944271065538E-2</v>
      </c>
      <c r="K78" s="84"/>
    </row>
    <row r="79" spans="1:14" x14ac:dyDescent="0.2">
      <c r="A79" s="75">
        <v>2702</v>
      </c>
      <c r="B79" s="267" t="s">
        <v>458</v>
      </c>
      <c r="C79" s="267"/>
      <c r="D79" s="267"/>
      <c r="E79" s="94"/>
      <c r="F79" s="115">
        <f t="shared" ref="F79:F85" si="16">E79/$F$110</f>
        <v>0</v>
      </c>
      <c r="G79" s="94">
        <v>0</v>
      </c>
      <c r="H79" s="183" t="e">
        <f t="shared" si="14"/>
        <v>#DIV/0!</v>
      </c>
      <c r="I79" s="94">
        <v>0</v>
      </c>
      <c r="J79" s="115">
        <f t="shared" si="15"/>
        <v>0</v>
      </c>
    </row>
    <row r="80" spans="1:14" x14ac:dyDescent="0.2">
      <c r="A80" s="75">
        <v>2703</v>
      </c>
      <c r="B80" s="267" t="s">
        <v>459</v>
      </c>
      <c r="C80" s="267"/>
      <c r="D80" s="267"/>
      <c r="E80" s="94"/>
      <c r="F80" s="115">
        <f t="shared" si="16"/>
        <v>0</v>
      </c>
      <c r="G80" s="94">
        <v>0</v>
      </c>
      <c r="H80" s="183" t="e">
        <f t="shared" si="14"/>
        <v>#DIV/0!</v>
      </c>
      <c r="I80" s="94">
        <v>0</v>
      </c>
      <c r="J80" s="115">
        <f t="shared" si="15"/>
        <v>0</v>
      </c>
    </row>
    <row r="81" spans="1:13" x14ac:dyDescent="0.2">
      <c r="A81" s="75">
        <v>2704</v>
      </c>
      <c r="B81" s="267" t="s">
        <v>460</v>
      </c>
      <c r="C81" s="267"/>
      <c r="D81" s="267"/>
      <c r="E81" s="94"/>
      <c r="F81" s="115">
        <f t="shared" si="16"/>
        <v>0</v>
      </c>
      <c r="G81" s="94">
        <v>0</v>
      </c>
      <c r="H81" s="183" t="e">
        <f t="shared" si="14"/>
        <v>#DIV/0!</v>
      </c>
      <c r="I81" s="94">
        <v>0</v>
      </c>
      <c r="J81" s="115">
        <f t="shared" si="15"/>
        <v>0</v>
      </c>
    </row>
    <row r="82" spans="1:13" x14ac:dyDescent="0.2">
      <c r="A82" s="75">
        <v>2705</v>
      </c>
      <c r="B82" s="267" t="s">
        <v>461</v>
      </c>
      <c r="C82" s="267"/>
      <c r="D82" s="267"/>
      <c r="E82" s="156"/>
      <c r="F82" s="146">
        <f t="shared" si="16"/>
        <v>0</v>
      </c>
      <c r="G82" s="94">
        <v>0</v>
      </c>
      <c r="H82" s="183" t="e">
        <f t="shared" si="14"/>
        <v>#DIV/0!</v>
      </c>
      <c r="I82" s="94">
        <v>450</v>
      </c>
      <c r="J82" s="115">
        <f t="shared" si="15"/>
        <v>1.0031208203299153E-2</v>
      </c>
      <c r="K82" s="84"/>
    </row>
    <row r="83" spans="1:13" x14ac:dyDescent="0.2">
      <c r="A83" s="75">
        <v>2706</v>
      </c>
      <c r="B83" s="271" t="s">
        <v>462</v>
      </c>
      <c r="C83" s="282"/>
      <c r="D83" s="283"/>
      <c r="E83" s="94"/>
      <c r="F83" s="115">
        <f t="shared" si="16"/>
        <v>0</v>
      </c>
      <c r="G83" s="94">
        <v>0</v>
      </c>
      <c r="H83" s="183" t="e">
        <f t="shared" si="14"/>
        <v>#DIV/0!</v>
      </c>
      <c r="I83" s="94">
        <v>600</v>
      </c>
      <c r="J83" s="115">
        <f t="shared" si="15"/>
        <v>1.3374944271065538E-2</v>
      </c>
    </row>
    <row r="84" spans="1:13" x14ac:dyDescent="0.2">
      <c r="A84" s="75">
        <v>2707</v>
      </c>
      <c r="B84" s="267" t="s">
        <v>463</v>
      </c>
      <c r="C84" s="267"/>
      <c r="D84" s="267"/>
      <c r="E84" s="94"/>
      <c r="F84" s="115">
        <f t="shared" si="16"/>
        <v>0</v>
      </c>
      <c r="G84" s="94">
        <v>0</v>
      </c>
      <c r="H84" s="183" t="e">
        <f t="shared" si="14"/>
        <v>#DIV/0!</v>
      </c>
      <c r="I84" s="94">
        <v>1000</v>
      </c>
      <c r="J84" s="115">
        <f t="shared" si="15"/>
        <v>2.229157378510923E-2</v>
      </c>
      <c r="K84" s="84"/>
    </row>
    <row r="85" spans="1:13" x14ac:dyDescent="0.2">
      <c r="A85" s="75">
        <v>2708</v>
      </c>
      <c r="B85" s="267" t="s">
        <v>464</v>
      </c>
      <c r="C85" s="267"/>
      <c r="D85" s="267"/>
      <c r="E85" s="217">
        <v>74.739999999999995</v>
      </c>
      <c r="F85" s="115">
        <f t="shared" si="16"/>
        <v>0.10826000362122035</v>
      </c>
      <c r="G85" s="94">
        <v>0</v>
      </c>
      <c r="H85" s="183" t="e">
        <f t="shared" si="14"/>
        <v>#DIV/0!</v>
      </c>
      <c r="I85" s="94">
        <v>300</v>
      </c>
      <c r="J85" s="115">
        <f t="shared" si="15"/>
        <v>6.6874721355327689E-3</v>
      </c>
    </row>
    <row r="86" spans="1:13" x14ac:dyDescent="0.2">
      <c r="A86" s="76" t="s">
        <v>465</v>
      </c>
      <c r="B86" s="252" t="s">
        <v>383</v>
      </c>
      <c r="C86" s="253"/>
      <c r="D86" s="253"/>
      <c r="E86" s="184"/>
      <c r="F86" s="134">
        <f>SUM(E78:E85)</f>
        <v>74.739999999999995</v>
      </c>
      <c r="G86" s="113"/>
      <c r="H86" s="134">
        <f>SUM(G79:G85)</f>
        <v>0</v>
      </c>
      <c r="I86" s="113"/>
      <c r="J86" s="134">
        <f>SUM(I79:I85)</f>
        <v>2350</v>
      </c>
    </row>
    <row r="87" spans="1:13" x14ac:dyDescent="0.2">
      <c r="A87" s="75">
        <v>2800</v>
      </c>
      <c r="B87" s="165" t="s">
        <v>466</v>
      </c>
      <c r="C87" s="185"/>
      <c r="D87" s="166"/>
      <c r="E87" s="166"/>
      <c r="F87" s="166"/>
      <c r="G87" s="166"/>
      <c r="H87" s="167"/>
      <c r="I87" s="166"/>
      <c r="J87" s="167"/>
    </row>
    <row r="88" spans="1:13" x14ac:dyDescent="0.2">
      <c r="A88" s="75">
        <v>2801</v>
      </c>
      <c r="B88" s="135" t="s">
        <v>467</v>
      </c>
      <c r="C88" s="159"/>
      <c r="D88" s="176"/>
      <c r="E88" s="133"/>
      <c r="F88" s="115">
        <f>E88/$F$110</f>
        <v>0</v>
      </c>
      <c r="G88" s="133">
        <v>0</v>
      </c>
      <c r="H88" s="183" t="e">
        <f t="shared" ref="H88:H95" si="17">G88/$H$110</f>
        <v>#DIV/0!</v>
      </c>
      <c r="I88" s="133">
        <v>200</v>
      </c>
      <c r="J88" s="115">
        <f t="shared" ref="J88:J95" si="18">I88/$J$110</f>
        <v>4.4583147570218459E-3</v>
      </c>
    </row>
    <row r="89" spans="1:13" x14ac:dyDescent="0.2">
      <c r="A89" s="75">
        <v>2802</v>
      </c>
      <c r="B89" s="136" t="s">
        <v>468</v>
      </c>
      <c r="C89" s="159"/>
      <c r="D89" s="177"/>
      <c r="E89" s="154"/>
      <c r="F89" s="115">
        <f t="shared" ref="F89:F95" si="19">E89/$F$110</f>
        <v>0</v>
      </c>
      <c r="G89" s="133">
        <v>0</v>
      </c>
      <c r="H89" s="183" t="e">
        <f t="shared" si="17"/>
        <v>#DIV/0!</v>
      </c>
      <c r="I89" s="133">
        <v>0</v>
      </c>
      <c r="J89" s="115">
        <f t="shared" si="18"/>
        <v>0</v>
      </c>
    </row>
    <row r="90" spans="1:13" x14ac:dyDescent="0.2">
      <c r="A90" s="75">
        <v>2803</v>
      </c>
      <c r="B90" s="136" t="s">
        <v>469</v>
      </c>
      <c r="C90" s="160"/>
      <c r="D90" s="177"/>
      <c r="E90" s="133"/>
      <c r="F90" s="115">
        <f t="shared" si="19"/>
        <v>0</v>
      </c>
      <c r="G90" s="133">
        <v>0</v>
      </c>
      <c r="H90" s="183" t="e">
        <f t="shared" si="17"/>
        <v>#DIV/0!</v>
      </c>
      <c r="I90" s="133">
        <v>0</v>
      </c>
      <c r="J90" s="115">
        <f t="shared" si="18"/>
        <v>0</v>
      </c>
    </row>
    <row r="91" spans="1:13" x14ac:dyDescent="0.2">
      <c r="A91" s="75">
        <v>2804</v>
      </c>
      <c r="B91" s="137" t="s">
        <v>470</v>
      </c>
      <c r="C91" s="160"/>
      <c r="D91" s="178"/>
      <c r="E91" s="152"/>
      <c r="F91" s="115">
        <f t="shared" si="19"/>
        <v>0</v>
      </c>
      <c r="G91" s="133">
        <v>0</v>
      </c>
      <c r="H91" s="183" t="e">
        <f t="shared" si="17"/>
        <v>#DIV/0!</v>
      </c>
      <c r="I91" s="133">
        <f>1050+900</f>
        <v>1950</v>
      </c>
      <c r="J91" s="115">
        <f t="shared" si="18"/>
        <v>4.3468568880962996E-2</v>
      </c>
      <c r="K91" s="84"/>
    </row>
    <row r="92" spans="1:13" x14ac:dyDescent="0.2">
      <c r="A92" s="75">
        <v>2805</v>
      </c>
      <c r="B92" s="137" t="s">
        <v>458</v>
      </c>
      <c r="C92" s="160"/>
      <c r="D92" s="178"/>
      <c r="E92" s="133"/>
      <c r="F92" s="115">
        <f t="shared" si="19"/>
        <v>0</v>
      </c>
      <c r="G92" s="133">
        <v>0</v>
      </c>
      <c r="H92" s="183" t="e">
        <f t="shared" si="17"/>
        <v>#DIV/0!</v>
      </c>
      <c r="I92" s="133">
        <v>0</v>
      </c>
      <c r="J92" s="115">
        <f t="shared" si="18"/>
        <v>0</v>
      </c>
    </row>
    <row r="93" spans="1:13" x14ac:dyDescent="0.2">
      <c r="A93" s="75">
        <v>2806</v>
      </c>
      <c r="B93" s="175" t="s">
        <v>463</v>
      </c>
      <c r="C93" s="160"/>
      <c r="D93" s="178"/>
      <c r="E93" s="133"/>
      <c r="F93" s="115">
        <f t="shared" si="19"/>
        <v>0</v>
      </c>
      <c r="G93" s="133">
        <v>0</v>
      </c>
      <c r="H93" s="183" t="e">
        <f t="shared" si="17"/>
        <v>#DIV/0!</v>
      </c>
      <c r="I93" s="133">
        <v>1800</v>
      </c>
      <c r="J93" s="115">
        <f t="shared" si="18"/>
        <v>4.0124832813196613E-2</v>
      </c>
      <c r="K93" s="84"/>
    </row>
    <row r="94" spans="1:13" x14ac:dyDescent="0.2">
      <c r="A94" s="75">
        <v>2807</v>
      </c>
      <c r="B94" s="175" t="s">
        <v>462</v>
      </c>
      <c r="C94" s="158"/>
      <c r="D94" s="178"/>
      <c r="E94" s="133"/>
      <c r="F94" s="115">
        <f t="shared" si="19"/>
        <v>0</v>
      </c>
      <c r="G94" s="133">
        <v>0</v>
      </c>
      <c r="H94" s="183" t="e">
        <f t="shared" si="17"/>
        <v>#DIV/0!</v>
      </c>
      <c r="I94" s="133">
        <f>12*30*6+500</f>
        <v>2660</v>
      </c>
      <c r="J94" s="115">
        <f t="shared" si="18"/>
        <v>5.929558626839055E-2</v>
      </c>
      <c r="L94" s="70"/>
      <c r="M94" s="70"/>
    </row>
    <row r="95" spans="1:13" x14ac:dyDescent="0.2">
      <c r="A95" s="75">
        <v>2808</v>
      </c>
      <c r="B95" s="138" t="s">
        <v>471</v>
      </c>
      <c r="C95" s="180"/>
      <c r="D95" s="179"/>
      <c r="E95" s="133"/>
      <c r="F95" s="115">
        <f t="shared" si="19"/>
        <v>0</v>
      </c>
      <c r="G95" s="133">
        <v>0</v>
      </c>
      <c r="H95" s="183" t="e">
        <f t="shared" si="17"/>
        <v>#DIV/0!</v>
      </c>
      <c r="I95" s="133">
        <v>200</v>
      </c>
      <c r="J95" s="115">
        <f t="shared" si="18"/>
        <v>4.4583147570218459E-3</v>
      </c>
      <c r="L95" s="70"/>
      <c r="M95" s="70"/>
    </row>
    <row r="96" spans="1:13" x14ac:dyDescent="0.2">
      <c r="A96" s="76" t="s">
        <v>472</v>
      </c>
      <c r="B96" s="252" t="s">
        <v>383</v>
      </c>
      <c r="C96" s="253"/>
      <c r="D96" s="253"/>
      <c r="E96" s="184"/>
      <c r="F96" s="134">
        <f>SUM(E88:E95)</f>
        <v>0</v>
      </c>
      <c r="G96" s="113"/>
      <c r="H96" s="134">
        <f>SUM(G88:G95)</f>
        <v>0</v>
      </c>
      <c r="I96" s="113"/>
      <c r="J96" s="134">
        <f>SUM(I88:I95)</f>
        <v>6810</v>
      </c>
    </row>
    <row r="97" spans="1:16" x14ac:dyDescent="0.2">
      <c r="A97" s="75">
        <v>2900</v>
      </c>
      <c r="B97" s="165" t="s">
        <v>473</v>
      </c>
      <c r="C97" s="166"/>
      <c r="D97" s="166"/>
      <c r="E97" s="166"/>
      <c r="F97" s="166"/>
      <c r="G97" s="166"/>
      <c r="H97" s="167"/>
      <c r="I97" s="166"/>
      <c r="J97" s="167"/>
    </row>
    <row r="98" spans="1:16" x14ac:dyDescent="0.2">
      <c r="A98" s="75">
        <v>2901</v>
      </c>
      <c r="B98" s="275" t="s">
        <v>467</v>
      </c>
      <c r="C98" s="275"/>
      <c r="D98" s="275"/>
      <c r="E98" s="133"/>
      <c r="F98" s="115">
        <f>E98/$F$110</f>
        <v>0</v>
      </c>
      <c r="G98" s="133">
        <v>0</v>
      </c>
      <c r="H98" s="183" t="e">
        <f t="shared" ref="H98:H105" si="20">G98/$H$110</f>
        <v>#DIV/0!</v>
      </c>
      <c r="I98" s="133">
        <v>1300</v>
      </c>
      <c r="J98" s="115">
        <f t="shared" ref="J98:J104" si="21">I98/$J$110</f>
        <v>2.8979045920641999E-2</v>
      </c>
      <c r="N98" s="110"/>
    </row>
    <row r="99" spans="1:16" x14ac:dyDescent="0.2">
      <c r="A99" s="75">
        <v>2902</v>
      </c>
      <c r="B99" s="268" t="s">
        <v>468</v>
      </c>
      <c r="C99" s="265"/>
      <c r="D99" s="265"/>
      <c r="E99" s="207">
        <v>10.48</v>
      </c>
      <c r="F99" s="115">
        <f t="shared" ref="F99:F105" si="22">E99/$F$110</f>
        <v>1.5180155712475104E-2</v>
      </c>
      <c r="G99" s="133">
        <v>0</v>
      </c>
      <c r="H99" s="183" t="e">
        <f t="shared" si="20"/>
        <v>#DIV/0!</v>
      </c>
      <c r="I99" s="133">
        <v>0</v>
      </c>
      <c r="J99" s="115">
        <f t="shared" si="21"/>
        <v>0</v>
      </c>
    </row>
    <row r="100" spans="1:16" x14ac:dyDescent="0.2">
      <c r="A100" s="75">
        <v>2903</v>
      </c>
      <c r="B100" s="268" t="s">
        <v>469</v>
      </c>
      <c r="C100" s="265"/>
      <c r="D100" s="265"/>
      <c r="E100" s="133"/>
      <c r="F100" s="115">
        <f t="shared" si="22"/>
        <v>0</v>
      </c>
      <c r="G100" s="133">
        <v>0</v>
      </c>
      <c r="H100" s="183" t="e">
        <f t="shared" si="20"/>
        <v>#DIV/0!</v>
      </c>
      <c r="I100" s="133">
        <v>0</v>
      </c>
      <c r="J100" s="115">
        <f t="shared" si="21"/>
        <v>0</v>
      </c>
    </row>
    <row r="101" spans="1:16" x14ac:dyDescent="0.2">
      <c r="A101" s="75">
        <v>2904</v>
      </c>
      <c r="B101" s="267" t="s">
        <v>470</v>
      </c>
      <c r="C101" s="267"/>
      <c r="D101" s="267"/>
      <c r="E101" s="133"/>
      <c r="F101" s="115">
        <f t="shared" si="22"/>
        <v>0</v>
      </c>
      <c r="G101" s="133">
        <v>0</v>
      </c>
      <c r="H101" s="183" t="e">
        <f t="shared" si="20"/>
        <v>#DIV/0!</v>
      </c>
      <c r="I101" s="133">
        <f>2250</f>
        <v>2250</v>
      </c>
      <c r="J101" s="115">
        <f t="shared" si="21"/>
        <v>5.0156041016495762E-2</v>
      </c>
      <c r="K101" s="84"/>
    </row>
    <row r="102" spans="1:16" x14ac:dyDescent="0.2">
      <c r="A102" s="75">
        <v>2905</v>
      </c>
      <c r="B102" s="267" t="s">
        <v>458</v>
      </c>
      <c r="C102" s="267"/>
      <c r="D102" s="267"/>
      <c r="E102" s="133"/>
      <c r="F102" s="115">
        <f t="shared" si="22"/>
        <v>0</v>
      </c>
      <c r="G102" s="133">
        <v>0</v>
      </c>
      <c r="H102" s="183" t="e">
        <f t="shared" si="20"/>
        <v>#DIV/0!</v>
      </c>
      <c r="I102" s="133">
        <v>0</v>
      </c>
      <c r="J102" s="115">
        <f t="shared" si="21"/>
        <v>0</v>
      </c>
    </row>
    <row r="103" spans="1:16" x14ac:dyDescent="0.2">
      <c r="A103" s="75">
        <v>2906</v>
      </c>
      <c r="B103" s="267" t="s">
        <v>463</v>
      </c>
      <c r="C103" s="267"/>
      <c r="D103" s="267"/>
      <c r="E103" s="207">
        <v>12</v>
      </c>
      <c r="F103" s="115">
        <f t="shared" si="22"/>
        <v>1.7381857686040194E-2</v>
      </c>
      <c r="G103" s="133">
        <v>0</v>
      </c>
      <c r="H103" s="183" t="e">
        <f t="shared" si="20"/>
        <v>#DIV/0!</v>
      </c>
      <c r="I103" s="133">
        <f>(1250*4*0.14*1.5)</f>
        <v>1050.0000000000002</v>
      </c>
      <c r="J103" s="115">
        <f t="shared" si="21"/>
        <v>2.3406152474364696E-2</v>
      </c>
      <c r="K103" s="84"/>
    </row>
    <row r="104" spans="1:16" x14ac:dyDescent="0.2">
      <c r="A104" s="75">
        <v>2907</v>
      </c>
      <c r="B104" s="267" t="s">
        <v>462</v>
      </c>
      <c r="C104" s="267"/>
      <c r="D104" s="267"/>
      <c r="E104" s="207">
        <v>560.28</v>
      </c>
      <c r="F104" s="115">
        <f t="shared" si="22"/>
        <v>0.8115589353612167</v>
      </c>
      <c r="G104" s="133">
        <v>0</v>
      </c>
      <c r="H104" s="183" t="e">
        <f t="shared" si="20"/>
        <v>#DIV/0!</v>
      </c>
      <c r="I104" s="133">
        <f>1500</f>
        <v>1500</v>
      </c>
      <c r="J104" s="115">
        <f t="shared" si="21"/>
        <v>3.3437360677663841E-2</v>
      </c>
    </row>
    <row r="105" spans="1:16" x14ac:dyDescent="0.2">
      <c r="A105" s="75">
        <v>2908</v>
      </c>
      <c r="B105" s="265" t="s">
        <v>471</v>
      </c>
      <c r="C105" s="265"/>
      <c r="D105" s="265"/>
      <c r="E105" s="133"/>
      <c r="F105" s="115">
        <f t="shared" si="22"/>
        <v>0</v>
      </c>
      <c r="G105" s="133">
        <v>0</v>
      </c>
      <c r="H105" s="183" t="e">
        <f t="shared" si="20"/>
        <v>#DIV/0!</v>
      </c>
      <c r="I105" s="133">
        <v>300</v>
      </c>
      <c r="J105" s="115">
        <f>I105/$J$110</f>
        <v>6.6874721355327689E-3</v>
      </c>
      <c r="L105" s="70"/>
      <c r="M105" s="70"/>
    </row>
    <row r="106" spans="1:16" x14ac:dyDescent="0.2">
      <c r="A106" s="76" t="s">
        <v>474</v>
      </c>
      <c r="B106" s="230" t="s">
        <v>383</v>
      </c>
      <c r="C106" s="231"/>
      <c r="D106" s="231"/>
      <c r="E106" s="184"/>
      <c r="F106" s="140">
        <f>SUM(E98:E105)</f>
        <v>582.76</v>
      </c>
      <c r="G106" s="139"/>
      <c r="H106" s="140">
        <f>SUM(G98:G105)</f>
        <v>0</v>
      </c>
      <c r="I106" s="139"/>
      <c r="J106" s="140">
        <f>SUM(I98:I105)</f>
        <v>6400</v>
      </c>
      <c r="L106" s="70"/>
      <c r="M106" s="70"/>
      <c r="N106" s="70"/>
      <c r="O106" s="70"/>
      <c r="P106" s="70"/>
    </row>
    <row r="107" spans="1:16" x14ac:dyDescent="0.2">
      <c r="A107" s="75">
        <v>3000</v>
      </c>
      <c r="B107" s="165" t="s">
        <v>282</v>
      </c>
      <c r="C107" s="166"/>
      <c r="D107" s="166"/>
      <c r="E107" s="166"/>
      <c r="F107" s="166"/>
      <c r="G107" s="166"/>
      <c r="H107" s="167"/>
      <c r="I107" s="166"/>
      <c r="J107" s="167"/>
      <c r="L107" s="70"/>
      <c r="M107" s="70"/>
      <c r="N107" s="70"/>
      <c r="O107" s="70"/>
      <c r="P107" s="70"/>
    </row>
    <row r="108" spans="1:16" x14ac:dyDescent="0.2">
      <c r="A108" s="75">
        <v>3001</v>
      </c>
      <c r="B108" s="285" t="s">
        <v>475</v>
      </c>
      <c r="C108" s="285"/>
      <c r="D108" s="285"/>
      <c r="E108" s="285"/>
      <c r="F108" s="141">
        <f>(SUM(F18,F25,F32,F76,F86,F96,F106))*0.05</f>
        <v>32.875</v>
      </c>
      <c r="G108" s="94"/>
      <c r="H108" s="141">
        <v>0</v>
      </c>
      <c r="I108" s="94"/>
      <c r="J108" s="141">
        <v>0</v>
      </c>
      <c r="L108" s="70"/>
      <c r="M108" s="70"/>
      <c r="N108" s="70"/>
      <c r="O108" s="70"/>
      <c r="P108" s="70"/>
    </row>
    <row r="109" spans="1:16" x14ac:dyDescent="0.2">
      <c r="B109" s="85"/>
      <c r="C109" s="85"/>
      <c r="D109" s="85"/>
      <c r="E109" s="116"/>
      <c r="F109" s="116"/>
      <c r="I109" s="70"/>
      <c r="J109" s="70"/>
      <c r="L109" s="70"/>
      <c r="M109" s="70"/>
      <c r="N109" s="70"/>
      <c r="O109" s="70"/>
      <c r="P109" s="70"/>
    </row>
    <row r="110" spans="1:16" ht="16.5" thickBot="1" x14ac:dyDescent="0.3">
      <c r="B110" s="107" t="s">
        <v>406</v>
      </c>
      <c r="C110" s="233" t="s">
        <v>476</v>
      </c>
      <c r="D110" s="233"/>
      <c r="E110" s="233"/>
      <c r="F110" s="142">
        <f>SUM(F18,F25,F32,F42,F76,F86,F96,F106+F108+F45)</f>
        <v>690.375</v>
      </c>
      <c r="G110" s="143"/>
      <c r="H110" s="142">
        <f>SUM(H18,H25,H32,H42,H76,H86,H96,H106+H108)</f>
        <v>0</v>
      </c>
      <c r="I110" s="143"/>
      <c r="J110" s="142">
        <f>SUM(J18,J25,J32,J42,J76,J86,J96,J106+J108)</f>
        <v>44860</v>
      </c>
      <c r="L110" s="70"/>
      <c r="M110" s="70"/>
      <c r="N110" s="70"/>
      <c r="O110" s="70"/>
      <c r="P110" s="70"/>
    </row>
    <row r="111" spans="1:16" ht="13.5" thickTop="1" x14ac:dyDescent="0.2">
      <c r="J111" s="70"/>
      <c r="K111" s="70"/>
      <c r="L111" s="70"/>
      <c r="M111" s="70"/>
      <c r="N111" s="70"/>
    </row>
    <row r="112" spans="1:16" ht="13.5" customHeight="1" x14ac:dyDescent="0.2">
      <c r="B112" s="284"/>
      <c r="C112" s="284"/>
      <c r="D112" s="284"/>
      <c r="E112" s="116"/>
      <c r="F112" s="144"/>
      <c r="G112" s="116"/>
      <c r="H112" s="144"/>
      <c r="J112" s="70"/>
      <c r="K112" s="70"/>
      <c r="L112" s="70"/>
      <c r="M112" s="70"/>
      <c r="N112" s="70"/>
    </row>
    <row r="113" spans="1:14" x14ac:dyDescent="0.2">
      <c r="B113" s="284"/>
      <c r="C113" s="284"/>
      <c r="D113" s="284"/>
      <c r="E113" s="116"/>
      <c r="F113" s="144"/>
      <c r="G113" s="116"/>
      <c r="H113" s="144"/>
      <c r="I113" s="110"/>
      <c r="J113" s="70"/>
      <c r="K113" s="70"/>
      <c r="L113" s="70"/>
      <c r="M113" s="70"/>
      <c r="N113" s="70"/>
    </row>
    <row r="114" spans="1:14" x14ac:dyDescent="0.2">
      <c r="B114" s="284"/>
      <c r="C114" s="284"/>
      <c r="D114" s="284"/>
      <c r="E114" s="116"/>
      <c r="F114" s="144"/>
      <c r="G114" s="116"/>
      <c r="H114" s="144"/>
      <c r="J114" s="70"/>
      <c r="K114" s="70"/>
      <c r="L114" s="70"/>
      <c r="M114" s="70"/>
      <c r="N114" s="70"/>
    </row>
    <row r="115" spans="1:14" x14ac:dyDescent="0.2">
      <c r="F115" s="145"/>
      <c r="J115" s="70"/>
      <c r="K115" s="70"/>
      <c r="L115" s="70"/>
      <c r="M115" s="70"/>
      <c r="N115" s="70"/>
    </row>
    <row r="116" spans="1:14" x14ac:dyDescent="0.2">
      <c r="A116" s="76"/>
      <c r="I116" s="70"/>
      <c r="J116" s="70"/>
      <c r="K116" s="70"/>
      <c r="L116" s="70"/>
      <c r="M116" s="70"/>
      <c r="N116" s="70"/>
    </row>
    <row r="117" spans="1:14" x14ac:dyDescent="0.2">
      <c r="F117" s="145"/>
      <c r="J117" s="70"/>
      <c r="K117" s="70"/>
      <c r="L117" s="70"/>
      <c r="M117" s="70"/>
      <c r="N117" s="70"/>
    </row>
    <row r="118" spans="1:14" x14ac:dyDescent="0.2">
      <c r="J118" s="70"/>
      <c r="K118" s="70"/>
      <c r="L118" s="70"/>
      <c r="M118" s="70"/>
      <c r="N118" s="70"/>
    </row>
    <row r="120" spans="1:14" x14ac:dyDescent="0.2">
      <c r="J120" s="70"/>
    </row>
  </sheetData>
  <mergeCells count="81">
    <mergeCell ref="B59:J59"/>
    <mergeCell ref="I60:J60"/>
    <mergeCell ref="G60:H60"/>
    <mergeCell ref="E60:F60"/>
    <mergeCell ref="B60:D60"/>
    <mergeCell ref="B114:D114"/>
    <mergeCell ref="B101:D101"/>
    <mergeCell ref="B102:D102"/>
    <mergeCell ref="B103:D103"/>
    <mergeCell ref="B104:D104"/>
    <mergeCell ref="B105:D105"/>
    <mergeCell ref="B106:D106"/>
    <mergeCell ref="B108:E108"/>
    <mergeCell ref="C110:E110"/>
    <mergeCell ref="B112:D112"/>
    <mergeCell ref="B113:D113"/>
    <mergeCell ref="B100:D100"/>
    <mergeCell ref="B81:D81"/>
    <mergeCell ref="B82:D82"/>
    <mergeCell ref="B83:D83"/>
    <mergeCell ref="B84:D84"/>
    <mergeCell ref="B85:D85"/>
    <mergeCell ref="B86:D86"/>
    <mergeCell ref="B96:D96"/>
    <mergeCell ref="B98:D98"/>
    <mergeCell ref="B99:D99"/>
    <mergeCell ref="B80:D80"/>
    <mergeCell ref="B69:D69"/>
    <mergeCell ref="B70:D70"/>
    <mergeCell ref="B71:D71"/>
    <mergeCell ref="B72:D72"/>
    <mergeCell ref="B73:D73"/>
    <mergeCell ref="B74:D74"/>
    <mergeCell ref="B75:D75"/>
    <mergeCell ref="B76:D76"/>
    <mergeCell ref="B78:D78"/>
    <mergeCell ref="B79:D79"/>
    <mergeCell ref="B68:D68"/>
    <mergeCell ref="B62:D62"/>
    <mergeCell ref="B63:D63"/>
    <mergeCell ref="B64:D64"/>
    <mergeCell ref="B65:D65"/>
    <mergeCell ref="B66:D66"/>
    <mergeCell ref="B67:D67"/>
    <mergeCell ref="B35:D35"/>
    <mergeCell ref="B36:D36"/>
    <mergeCell ref="B37:D37"/>
    <mergeCell ref="B38:D38"/>
    <mergeCell ref="B39:D39"/>
    <mergeCell ref="B58:J58"/>
    <mergeCell ref="B34:D34"/>
    <mergeCell ref="B23:D23"/>
    <mergeCell ref="B24:D24"/>
    <mergeCell ref="B25:D25"/>
    <mergeCell ref="B27:D27"/>
    <mergeCell ref="B28:D28"/>
    <mergeCell ref="B29:D29"/>
    <mergeCell ref="B30:D30"/>
    <mergeCell ref="B31:D31"/>
    <mergeCell ref="B32:D32"/>
    <mergeCell ref="B40:D40"/>
    <mergeCell ref="B41:D41"/>
    <mergeCell ref="B42:D42"/>
    <mergeCell ref="B44:D44"/>
    <mergeCell ref="B45:D45"/>
    <mergeCell ref="B22:D22"/>
    <mergeCell ref="B11:D11"/>
    <mergeCell ref="B12:D12"/>
    <mergeCell ref="B13:D13"/>
    <mergeCell ref="B14:D14"/>
    <mergeCell ref="B15:D15"/>
    <mergeCell ref="B16:D16"/>
    <mergeCell ref="B17:D17"/>
    <mergeCell ref="B18:D18"/>
    <mergeCell ref="B20:D20"/>
    <mergeCell ref="B21:D21"/>
    <mergeCell ref="E9:F9"/>
    <mergeCell ref="B7:J7"/>
    <mergeCell ref="B8:J8"/>
    <mergeCell ref="I9:J9"/>
    <mergeCell ref="G9:H9"/>
  </mergeCells>
  <pageMargins left="2.90625" right="0.78740157499999996" top="0.984251969" bottom="0.984251969" header="0.3" footer="0.3"/>
  <pageSetup scale="90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FFC000"/>
  </sheetPr>
  <dimension ref="A1:R970"/>
  <sheetViews>
    <sheetView workbookViewId="0">
      <pane ySplit="5" topLeftCell="A6" activePane="bottomLeft" state="frozen"/>
      <selection activeCell="G51" sqref="G51"/>
      <selection pane="bottomLeft" activeCell="G51" sqref="G51"/>
    </sheetView>
  </sheetViews>
  <sheetFormatPr baseColWidth="10" defaultColWidth="17.42578125" defaultRowHeight="15" customHeight="1" x14ac:dyDescent="0.2"/>
  <cols>
    <col min="1" max="1" width="21.28515625" style="13" bestFit="1" customWidth="1"/>
    <col min="2" max="4" width="21.42578125" style="13" customWidth="1"/>
    <col min="5" max="5" width="23.42578125" style="13" customWidth="1"/>
    <col min="6" max="6" width="19" style="13" customWidth="1"/>
    <col min="7" max="8" width="34.5703125" style="13" customWidth="1"/>
    <col min="9" max="9" width="33.5703125" style="13" customWidth="1"/>
    <col min="10" max="10" width="16" style="13" bestFit="1" customWidth="1"/>
    <col min="11" max="11" width="10.42578125" style="13" customWidth="1"/>
    <col min="12" max="12" width="57.140625" style="13" customWidth="1"/>
    <col min="13" max="13" width="41.140625" style="13" customWidth="1"/>
    <col min="14" max="14" width="30.42578125" style="13" bestFit="1" customWidth="1"/>
    <col min="15" max="15" width="16.85546875" style="13" bestFit="1" customWidth="1"/>
    <col min="16" max="16" width="17.85546875" style="13" bestFit="1" customWidth="1"/>
    <col min="17" max="17" width="17.42578125" style="13"/>
    <col min="18" max="18" width="21.42578125" style="13" bestFit="1" customWidth="1"/>
    <col min="19" max="16384" width="17.42578125" style="13"/>
  </cols>
  <sheetData>
    <row r="1" spans="1:18" ht="38.25" customHeight="1" x14ac:dyDescent="0.3">
      <c r="B1" s="14"/>
      <c r="C1" s="15"/>
      <c r="D1" s="15"/>
      <c r="E1" s="16"/>
      <c r="F1" s="17" t="s">
        <v>20</v>
      </c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</row>
    <row r="2" spans="1:18" ht="18.75" customHeight="1" x14ac:dyDescent="0.3">
      <c r="B2" s="14"/>
      <c r="C2" s="14"/>
      <c r="D2" s="14"/>
      <c r="E2" s="14"/>
      <c r="F2" s="18" t="s">
        <v>21</v>
      </c>
      <c r="G2" s="14"/>
      <c r="H2" s="14"/>
      <c r="I2" s="19"/>
      <c r="J2" s="19"/>
      <c r="K2" s="19"/>
      <c r="L2" s="14"/>
      <c r="M2" s="14"/>
      <c r="N2" s="16"/>
      <c r="O2" s="16"/>
      <c r="P2" s="16"/>
      <c r="Q2" s="16"/>
    </row>
    <row r="3" spans="1:18" ht="18.75" customHeight="1" x14ac:dyDescent="0.3">
      <c r="B3" s="14"/>
      <c r="C3" s="14"/>
      <c r="D3" s="14"/>
      <c r="E3" s="14"/>
      <c r="F3" s="20" t="str">
        <f>HYPERLINK("https://twitter.com/dronolab","https://twitter.com/dronolab")</f>
        <v>https://twitter.com/dronolab</v>
      </c>
      <c r="G3" s="14"/>
      <c r="H3" s="14"/>
      <c r="I3" s="14"/>
      <c r="J3" s="14"/>
      <c r="K3" s="14"/>
      <c r="L3" s="21" t="s">
        <v>22</v>
      </c>
      <c r="M3" s="21"/>
      <c r="N3" s="16"/>
      <c r="O3" s="16"/>
      <c r="P3" s="16"/>
      <c r="Q3" s="16"/>
    </row>
    <row r="4" spans="1:18" ht="21.75" customHeight="1" x14ac:dyDescent="0.3">
      <c r="B4" s="22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16"/>
      <c r="O4" s="16"/>
      <c r="P4" s="16"/>
      <c r="Q4" s="16"/>
    </row>
    <row r="5" spans="1:18" x14ac:dyDescent="0.25">
      <c r="B5" s="24" t="s">
        <v>23</v>
      </c>
      <c r="C5" s="24" t="s">
        <v>15</v>
      </c>
      <c r="D5" s="24" t="s">
        <v>18</v>
      </c>
      <c r="E5" s="24" t="s">
        <v>24</v>
      </c>
      <c r="F5" s="24" t="s">
        <v>25</v>
      </c>
      <c r="G5" s="24" t="s">
        <v>14</v>
      </c>
      <c r="H5" s="24" t="s">
        <v>26</v>
      </c>
      <c r="I5" s="24" t="s">
        <v>27</v>
      </c>
      <c r="J5" s="24" t="s">
        <v>28</v>
      </c>
      <c r="K5" s="24" t="s">
        <v>17</v>
      </c>
      <c r="L5" s="24" t="s">
        <v>29</v>
      </c>
      <c r="M5" s="24" t="s">
        <v>30</v>
      </c>
      <c r="N5" s="25" t="s">
        <v>31</v>
      </c>
      <c r="O5" s="26" t="s">
        <v>32</v>
      </c>
      <c r="P5" s="26" t="s">
        <v>33</v>
      </c>
      <c r="Q5" s="27" t="s">
        <v>34</v>
      </c>
    </row>
    <row r="6" spans="1:18" ht="12.75" x14ac:dyDescent="0.2">
      <c r="A6" s="13" t="str">
        <f t="shared" ref="A6:A35" si="0">CONCATENATE(C6," ",B6)</f>
        <v>Liam Beguin</v>
      </c>
      <c r="B6" s="28" t="s">
        <v>35</v>
      </c>
      <c r="C6" s="28" t="s">
        <v>36</v>
      </c>
      <c r="D6" s="28" t="s">
        <v>37</v>
      </c>
      <c r="E6" s="28" t="s">
        <v>38</v>
      </c>
      <c r="F6" s="28" t="s">
        <v>39</v>
      </c>
      <c r="G6" s="28" t="s">
        <v>40</v>
      </c>
      <c r="H6" s="28"/>
      <c r="I6" s="28" t="s">
        <v>41</v>
      </c>
      <c r="J6" s="28"/>
      <c r="K6" s="28" t="s">
        <v>42</v>
      </c>
      <c r="L6" s="28" t="s">
        <v>43</v>
      </c>
      <c r="M6" s="28" t="s">
        <v>44</v>
      </c>
      <c r="N6" s="28" t="s">
        <v>44</v>
      </c>
      <c r="O6" s="28">
        <v>2.5</v>
      </c>
      <c r="P6" s="28">
        <v>2.5</v>
      </c>
      <c r="Q6" s="29"/>
      <c r="R6" s="13" t="str">
        <f t="shared" ref="R6:R35" si="1">CONCATENATE(C6," ",B6)</f>
        <v>Liam Beguin</v>
      </c>
    </row>
    <row r="7" spans="1:18" ht="12.75" x14ac:dyDescent="0.2">
      <c r="A7" s="13" t="str">
        <f t="shared" si="0"/>
        <v>Mikaël Ferland</v>
      </c>
      <c r="B7" s="28" t="s">
        <v>45</v>
      </c>
      <c r="C7" s="28" t="s">
        <v>46</v>
      </c>
      <c r="D7" s="28" t="s">
        <v>47</v>
      </c>
      <c r="E7" s="28" t="s">
        <v>38</v>
      </c>
      <c r="F7" s="28" t="s">
        <v>48</v>
      </c>
      <c r="G7" s="28" t="s">
        <v>49</v>
      </c>
      <c r="H7" s="28" t="s">
        <v>50</v>
      </c>
      <c r="I7" s="28" t="s">
        <v>51</v>
      </c>
      <c r="J7" s="28" t="s">
        <v>52</v>
      </c>
      <c r="K7" s="28" t="s">
        <v>53</v>
      </c>
      <c r="L7" s="28" t="s">
        <v>54</v>
      </c>
      <c r="M7" s="28" t="s">
        <v>44</v>
      </c>
      <c r="N7" s="28" t="s">
        <v>55</v>
      </c>
      <c r="O7" s="28"/>
      <c r="P7" s="28"/>
      <c r="Q7" s="29"/>
      <c r="R7" s="13" t="str">
        <f t="shared" si="1"/>
        <v>Mikaël Ferland</v>
      </c>
    </row>
    <row r="8" spans="1:18" ht="12.75" x14ac:dyDescent="0.2">
      <c r="A8" s="13" t="str">
        <f t="shared" si="0"/>
        <v>Michael McCarthy</v>
      </c>
      <c r="B8" s="28" t="s">
        <v>56</v>
      </c>
      <c r="C8" s="28" t="s">
        <v>57</v>
      </c>
      <c r="D8" s="28" t="s">
        <v>58</v>
      </c>
      <c r="E8" s="28" t="s">
        <v>59</v>
      </c>
      <c r="F8" s="28" t="s">
        <v>60</v>
      </c>
      <c r="G8" s="28" t="s">
        <v>61</v>
      </c>
      <c r="H8" s="28"/>
      <c r="I8" s="28" t="s">
        <v>62</v>
      </c>
      <c r="J8" s="28"/>
      <c r="K8" s="28" t="s">
        <v>53</v>
      </c>
      <c r="L8" s="28" t="s">
        <v>63</v>
      </c>
      <c r="M8" s="28" t="s">
        <v>44</v>
      </c>
      <c r="N8" s="28" t="s">
        <v>55</v>
      </c>
      <c r="O8" s="28">
        <v>4</v>
      </c>
      <c r="P8" s="28">
        <v>3</v>
      </c>
      <c r="Q8" s="29"/>
      <c r="R8" s="13" t="str">
        <f t="shared" si="1"/>
        <v>Michael McCarthy</v>
      </c>
    </row>
    <row r="9" spans="1:18" ht="12.75" x14ac:dyDescent="0.2">
      <c r="A9" s="13" t="str">
        <f t="shared" si="0"/>
        <v>Jonathan Pierrat</v>
      </c>
      <c r="B9" s="28" t="s">
        <v>64</v>
      </c>
      <c r="C9" s="28" t="s">
        <v>65</v>
      </c>
      <c r="D9" s="28" t="s">
        <v>66</v>
      </c>
      <c r="E9" s="28" t="s">
        <v>67</v>
      </c>
      <c r="F9" s="28" t="s">
        <v>68</v>
      </c>
      <c r="G9" s="28" t="s">
        <v>69</v>
      </c>
      <c r="H9" s="28" t="s">
        <v>70</v>
      </c>
      <c r="I9" s="28" t="s">
        <v>42</v>
      </c>
      <c r="J9" s="28" t="s">
        <v>71</v>
      </c>
      <c r="K9" s="28" t="s">
        <v>42</v>
      </c>
      <c r="L9" s="28" t="s">
        <v>72</v>
      </c>
      <c r="M9" s="28" t="s">
        <v>44</v>
      </c>
      <c r="N9" s="28" t="s">
        <v>44</v>
      </c>
      <c r="O9" s="28">
        <v>3.5</v>
      </c>
      <c r="P9" s="28">
        <v>3.5</v>
      </c>
      <c r="Q9" s="29"/>
      <c r="R9" s="13" t="str">
        <f t="shared" si="1"/>
        <v>Jonathan Pierrat</v>
      </c>
    </row>
    <row r="10" spans="1:18" ht="12.75" x14ac:dyDescent="0.2">
      <c r="A10" s="13" t="str">
        <f t="shared" si="0"/>
        <v>Francois-Xavier Rolland</v>
      </c>
      <c r="B10" s="28" t="s">
        <v>73</v>
      </c>
      <c r="C10" s="28" t="s">
        <v>74</v>
      </c>
      <c r="D10" s="28" t="s">
        <v>75</v>
      </c>
      <c r="E10" s="28" t="s">
        <v>38</v>
      </c>
      <c r="F10" s="28" t="s">
        <v>76</v>
      </c>
      <c r="G10" s="28" t="s">
        <v>77</v>
      </c>
      <c r="H10" s="28"/>
      <c r="I10" s="28" t="s">
        <v>42</v>
      </c>
      <c r="J10" s="28"/>
      <c r="K10" s="28" t="s">
        <v>42</v>
      </c>
      <c r="L10" s="28" t="s">
        <v>78</v>
      </c>
      <c r="M10" s="28" t="s">
        <v>44</v>
      </c>
      <c r="N10" s="28" t="s">
        <v>44</v>
      </c>
      <c r="O10" s="28">
        <v>3.5</v>
      </c>
      <c r="P10" s="28">
        <v>2.5</v>
      </c>
      <c r="Q10" s="29"/>
      <c r="R10" s="13" t="str">
        <f t="shared" si="1"/>
        <v>Francois-Xavier Rolland</v>
      </c>
    </row>
    <row r="11" spans="1:18" ht="12.75" x14ac:dyDescent="0.2">
      <c r="A11" s="13" t="str">
        <f t="shared" si="0"/>
        <v>Louis Laporte</v>
      </c>
      <c r="B11" s="28" t="s">
        <v>79</v>
      </c>
      <c r="C11" s="28" t="s">
        <v>80</v>
      </c>
      <c r="D11" s="28" t="s">
        <v>81</v>
      </c>
      <c r="E11" s="28" t="s">
        <v>38</v>
      </c>
      <c r="F11" s="28" t="s">
        <v>82</v>
      </c>
      <c r="G11" s="28" t="s">
        <v>83</v>
      </c>
      <c r="H11" s="28"/>
      <c r="I11" s="28" t="s">
        <v>42</v>
      </c>
      <c r="J11" s="28"/>
      <c r="K11" s="28" t="s">
        <v>42</v>
      </c>
      <c r="L11" s="28" t="s">
        <v>84</v>
      </c>
      <c r="M11" s="28" t="s">
        <v>55</v>
      </c>
      <c r="N11" s="28" t="s">
        <v>55</v>
      </c>
      <c r="O11" s="28"/>
      <c r="P11" s="28"/>
      <c r="Q11" s="29"/>
      <c r="R11" s="13" t="str">
        <f t="shared" si="1"/>
        <v>Louis Laporte</v>
      </c>
    </row>
    <row r="12" spans="1:18" ht="12.75" x14ac:dyDescent="0.2">
      <c r="A12" s="13" t="str">
        <f t="shared" si="0"/>
        <v>Vincent Pozzuoli</v>
      </c>
      <c r="B12" s="28" t="s">
        <v>85</v>
      </c>
      <c r="C12" s="28" t="s">
        <v>86</v>
      </c>
      <c r="D12" s="28" t="s">
        <v>87</v>
      </c>
      <c r="E12" s="28" t="s">
        <v>88</v>
      </c>
      <c r="F12" s="28" t="s">
        <v>89</v>
      </c>
      <c r="G12" s="28" t="str">
        <f>HYPERLINK("mailto:vincent.pozzuoli@gmail.com","vincent.pozzuoli@gmail.com")</f>
        <v>vincent.pozzuoli@gmail.com</v>
      </c>
      <c r="H12" s="28"/>
      <c r="I12" s="28" t="s">
        <v>42</v>
      </c>
      <c r="J12" s="28"/>
      <c r="K12" s="28" t="s">
        <v>42</v>
      </c>
      <c r="L12" s="28" t="s">
        <v>90</v>
      </c>
      <c r="M12" s="28" t="s">
        <v>44</v>
      </c>
      <c r="N12" s="28" t="s">
        <v>55</v>
      </c>
      <c r="O12" s="28">
        <v>2.5</v>
      </c>
      <c r="P12" s="28">
        <v>1.5</v>
      </c>
      <c r="Q12" s="29"/>
      <c r="R12" s="13" t="str">
        <f t="shared" si="1"/>
        <v>Vincent Pozzuoli</v>
      </c>
    </row>
    <row r="13" spans="1:18" ht="12.75" x14ac:dyDescent="0.2">
      <c r="A13" s="13" t="str">
        <f t="shared" si="0"/>
        <v>Suchart Léveillé</v>
      </c>
      <c r="B13" s="28" t="s">
        <v>91</v>
      </c>
      <c r="C13" s="28" t="s">
        <v>92</v>
      </c>
      <c r="D13" s="28" t="s">
        <v>93</v>
      </c>
      <c r="E13" s="28" t="s">
        <v>38</v>
      </c>
      <c r="F13" s="28" t="s">
        <v>94</v>
      </c>
      <c r="G13" s="28" t="s">
        <v>95</v>
      </c>
      <c r="H13" s="28"/>
      <c r="I13" s="28" t="s">
        <v>96</v>
      </c>
      <c r="J13" s="28"/>
      <c r="K13" s="28" t="s">
        <v>53</v>
      </c>
      <c r="L13" s="28" t="s">
        <v>97</v>
      </c>
      <c r="M13" s="28" t="s">
        <v>44</v>
      </c>
      <c r="N13" s="28" t="s">
        <v>44</v>
      </c>
      <c r="O13" s="28">
        <v>1</v>
      </c>
      <c r="P13" s="28">
        <v>1</v>
      </c>
      <c r="Q13" s="29"/>
      <c r="R13" s="13" t="str">
        <f t="shared" si="1"/>
        <v>Suchart Léveillé</v>
      </c>
    </row>
    <row r="14" spans="1:18" ht="12.75" x14ac:dyDescent="0.2">
      <c r="A14" s="13" t="str">
        <f t="shared" si="0"/>
        <v>Alexis Potvin</v>
      </c>
      <c r="B14" s="28" t="s">
        <v>98</v>
      </c>
      <c r="C14" s="28" t="s">
        <v>99</v>
      </c>
      <c r="D14" s="28" t="s">
        <v>100</v>
      </c>
      <c r="E14" s="28" t="s">
        <v>38</v>
      </c>
      <c r="F14" s="28" t="s">
        <v>101</v>
      </c>
      <c r="G14" s="28" t="s">
        <v>102</v>
      </c>
      <c r="H14" s="28" t="s">
        <v>103</v>
      </c>
      <c r="I14" s="28" t="s">
        <v>104</v>
      </c>
      <c r="J14" s="28" t="s">
        <v>105</v>
      </c>
      <c r="K14" s="28" t="s">
        <v>53</v>
      </c>
      <c r="L14" s="28" t="s">
        <v>106</v>
      </c>
      <c r="M14" s="28" t="s">
        <v>44</v>
      </c>
      <c r="N14" s="28" t="s">
        <v>44</v>
      </c>
      <c r="O14" s="28"/>
      <c r="P14" s="28"/>
      <c r="Q14" s="29"/>
      <c r="R14" s="13" t="str">
        <f t="shared" si="1"/>
        <v>Alexis Potvin</v>
      </c>
    </row>
    <row r="15" spans="1:18" ht="12.75" x14ac:dyDescent="0.2">
      <c r="A15" s="13" t="str">
        <f t="shared" si="0"/>
        <v>Camilo Lozano</v>
      </c>
      <c r="B15" s="28" t="s">
        <v>107</v>
      </c>
      <c r="C15" s="28" t="s">
        <v>108</v>
      </c>
      <c r="D15" s="28" t="s">
        <v>109</v>
      </c>
      <c r="E15" s="28" t="s">
        <v>38</v>
      </c>
      <c r="F15" s="28" t="s">
        <v>110</v>
      </c>
      <c r="G15" s="28" t="str">
        <f>HYPERLINK("mailto:hollman-camilo.lozano-suarez.1@etsmtl.net","hollman-camilo.lozano-suarez.1@etsmtl.net")</f>
        <v>hollman-camilo.lozano-suarez.1@etsmtl.net</v>
      </c>
      <c r="H15" s="28"/>
      <c r="I15" s="28" t="s">
        <v>111</v>
      </c>
      <c r="J15" s="28"/>
      <c r="K15" s="28" t="s">
        <v>111</v>
      </c>
      <c r="L15" s="28" t="s">
        <v>112</v>
      </c>
      <c r="M15" s="28" t="s">
        <v>44</v>
      </c>
      <c r="N15" s="28" t="s">
        <v>55</v>
      </c>
      <c r="O15" s="28"/>
      <c r="P15" s="28"/>
      <c r="Q15" s="29"/>
      <c r="R15" s="13" t="str">
        <f t="shared" si="1"/>
        <v>Camilo Lozano</v>
      </c>
    </row>
    <row r="16" spans="1:18" ht="12.75" x14ac:dyDescent="0.2">
      <c r="A16" s="13" t="str">
        <f t="shared" si="0"/>
        <v>Philippe Durocher</v>
      </c>
      <c r="B16" s="28" t="s">
        <v>113</v>
      </c>
      <c r="C16" s="28" t="s">
        <v>114</v>
      </c>
      <c r="D16" s="28" t="s">
        <v>115</v>
      </c>
      <c r="E16" s="28" t="s">
        <v>38</v>
      </c>
      <c r="F16" s="28" t="s">
        <v>116</v>
      </c>
      <c r="G16" s="28" t="s">
        <v>117</v>
      </c>
      <c r="H16" s="28"/>
      <c r="I16" s="28" t="s">
        <v>118</v>
      </c>
      <c r="J16" s="28"/>
      <c r="K16" s="28" t="s">
        <v>53</v>
      </c>
      <c r="L16" s="28" t="s">
        <v>119</v>
      </c>
      <c r="M16" s="28" t="s">
        <v>55</v>
      </c>
      <c r="N16" s="28" t="s">
        <v>55</v>
      </c>
      <c r="O16" s="28"/>
      <c r="P16" s="28"/>
      <c r="Q16" s="29"/>
      <c r="R16" s="13" t="str">
        <f t="shared" si="1"/>
        <v>Philippe Durocher</v>
      </c>
    </row>
    <row r="17" spans="1:18" ht="12.75" x14ac:dyDescent="0.2">
      <c r="A17" s="13" t="str">
        <f t="shared" si="0"/>
        <v>Gabriel Labrecque</v>
      </c>
      <c r="B17" s="28" t="s">
        <v>120</v>
      </c>
      <c r="C17" s="28" t="s">
        <v>121</v>
      </c>
      <c r="D17" s="28" t="s">
        <v>122</v>
      </c>
      <c r="E17" s="28" t="s">
        <v>88</v>
      </c>
      <c r="F17" s="28" t="s">
        <v>123</v>
      </c>
      <c r="G17" s="28" t="str">
        <f>HYPERLINK("mailto:gabriel_lab@live.com","gabriel_lab@live.com")</f>
        <v>gabriel_lab@live.com</v>
      </c>
      <c r="H17" s="28"/>
      <c r="I17" s="28" t="s">
        <v>124</v>
      </c>
      <c r="J17" s="28"/>
      <c r="K17" s="28" t="s">
        <v>53</v>
      </c>
      <c r="L17" s="28" t="s">
        <v>125</v>
      </c>
      <c r="M17" s="28" t="s">
        <v>44</v>
      </c>
      <c r="N17" s="28" t="s">
        <v>55</v>
      </c>
      <c r="O17" s="28"/>
      <c r="P17" s="28"/>
      <c r="Q17" s="29"/>
      <c r="R17" s="13" t="str">
        <f t="shared" si="1"/>
        <v>Gabriel Labrecque</v>
      </c>
    </row>
    <row r="18" spans="1:18" ht="12.75" x14ac:dyDescent="0.2">
      <c r="A18" s="13" t="str">
        <f t="shared" si="0"/>
        <v>Pascal Poirier</v>
      </c>
      <c r="B18" s="28" t="s">
        <v>126</v>
      </c>
      <c r="C18" s="28" t="s">
        <v>127</v>
      </c>
      <c r="D18" s="28" t="s">
        <v>128</v>
      </c>
      <c r="E18" s="28" t="s">
        <v>129</v>
      </c>
      <c r="F18" s="28" t="s">
        <v>130</v>
      </c>
      <c r="G18" s="28" t="str">
        <f>HYPERLINK("mailto:ppoirier88@gmail.com","ppoirier88@gmail.com")</f>
        <v>ppoirier88@gmail.com</v>
      </c>
      <c r="H18" s="28"/>
      <c r="I18" s="28" t="s">
        <v>96</v>
      </c>
      <c r="J18" s="28"/>
      <c r="K18" s="28" t="s">
        <v>53</v>
      </c>
      <c r="L18" s="28" t="s">
        <v>97</v>
      </c>
      <c r="M18" s="28" t="s">
        <v>44</v>
      </c>
      <c r="N18" s="28" t="s">
        <v>55</v>
      </c>
      <c r="O18" s="28"/>
      <c r="P18" s="28"/>
      <c r="Q18" s="29"/>
      <c r="R18" s="13" t="str">
        <f t="shared" si="1"/>
        <v>Pascal Poirier</v>
      </c>
    </row>
    <row r="19" spans="1:18" ht="12.75" x14ac:dyDescent="0.2">
      <c r="A19" s="13" t="str">
        <f t="shared" si="0"/>
        <v>Pierre Bonzel</v>
      </c>
      <c r="B19" s="28" t="s">
        <v>131</v>
      </c>
      <c r="C19" s="28" t="s">
        <v>132</v>
      </c>
      <c r="D19" s="28" t="s">
        <v>133</v>
      </c>
      <c r="E19" s="28" t="s">
        <v>134</v>
      </c>
      <c r="F19" s="28" t="s">
        <v>135</v>
      </c>
      <c r="G19" s="28" t="str">
        <f>HYPERLINK("mailto:pierre.bonzel@gmail.com","pierre.bonzel@gmail.com")</f>
        <v>pierre.bonzel@gmail.com</v>
      </c>
      <c r="H19" s="28"/>
      <c r="I19" s="30" t="s">
        <v>136</v>
      </c>
      <c r="J19" s="30"/>
      <c r="K19" s="30" t="s">
        <v>42</v>
      </c>
      <c r="L19" s="28" t="s">
        <v>137</v>
      </c>
      <c r="M19" s="28" t="s">
        <v>44</v>
      </c>
      <c r="N19" s="28" t="s">
        <v>44</v>
      </c>
      <c r="O19" s="28"/>
      <c r="P19" s="28"/>
      <c r="Q19" s="29"/>
      <c r="R19" s="13" t="str">
        <f t="shared" si="1"/>
        <v>Pierre Bonzel</v>
      </c>
    </row>
    <row r="20" spans="1:18" ht="12.75" x14ac:dyDescent="0.2">
      <c r="A20" s="13" t="str">
        <f t="shared" si="0"/>
        <v>Massaki Archambault</v>
      </c>
      <c r="B20" s="28" t="s">
        <v>138</v>
      </c>
      <c r="C20" s="28" t="s">
        <v>139</v>
      </c>
      <c r="D20" s="28" t="s">
        <v>140</v>
      </c>
      <c r="E20" s="28" t="s">
        <v>141</v>
      </c>
      <c r="F20" s="28" t="s">
        <v>142</v>
      </c>
      <c r="G20" s="28" t="str">
        <f>HYPERLINK("mailto:archambault.massaki@gmail.com","archambault.massaki@gmail.com")</f>
        <v>archambault.massaki@gmail.com</v>
      </c>
      <c r="H20" s="28"/>
      <c r="I20" s="28" t="s">
        <v>143</v>
      </c>
      <c r="J20" s="28"/>
      <c r="K20" s="28" t="s">
        <v>53</v>
      </c>
      <c r="L20" s="28" t="s">
        <v>144</v>
      </c>
      <c r="M20" s="28" t="s">
        <v>44</v>
      </c>
      <c r="N20" s="28" t="s">
        <v>55</v>
      </c>
      <c r="O20" s="28"/>
      <c r="P20" s="28"/>
      <c r="Q20" s="29"/>
      <c r="R20" s="13" t="str">
        <f t="shared" si="1"/>
        <v>Massaki Archambault</v>
      </c>
    </row>
    <row r="21" spans="1:18" ht="15" customHeight="1" x14ac:dyDescent="0.2">
      <c r="A21" s="13" t="str">
        <f t="shared" si="0"/>
        <v>Chettibi Abderraouf</v>
      </c>
      <c r="B21" s="28" t="s">
        <v>145</v>
      </c>
      <c r="C21" s="28" t="s">
        <v>146</v>
      </c>
      <c r="D21" s="28" t="s">
        <v>147</v>
      </c>
      <c r="E21" s="28" t="s">
        <v>88</v>
      </c>
      <c r="F21" s="28" t="s">
        <v>148</v>
      </c>
      <c r="G21" s="28" t="str">
        <f>HYPERLINK("mailto:a.chettibi@hotmail.com","a.chettibi@hotmail.com")</f>
        <v>a.chettibi@hotmail.com</v>
      </c>
      <c r="H21" s="28"/>
      <c r="I21" s="28" t="s">
        <v>149</v>
      </c>
      <c r="J21" s="28"/>
      <c r="K21" s="28" t="s">
        <v>149</v>
      </c>
      <c r="L21" s="28" t="s">
        <v>150</v>
      </c>
      <c r="M21" s="28" t="s">
        <v>55</v>
      </c>
      <c r="N21" s="28" t="s">
        <v>44</v>
      </c>
      <c r="O21" s="28" t="s">
        <v>151</v>
      </c>
      <c r="P21" s="28" t="s">
        <v>151</v>
      </c>
      <c r="Q21" s="29"/>
      <c r="R21" s="13" t="str">
        <f t="shared" si="1"/>
        <v>Chettibi Abderraouf</v>
      </c>
    </row>
    <row r="22" spans="1:18" ht="12.75" x14ac:dyDescent="0.2">
      <c r="A22" s="13" t="str">
        <f t="shared" si="0"/>
        <v>Richer Larivière</v>
      </c>
      <c r="B22" s="28" t="s">
        <v>152</v>
      </c>
      <c r="C22" s="28" t="s">
        <v>153</v>
      </c>
      <c r="D22" s="28" t="s">
        <v>154</v>
      </c>
      <c r="E22" s="28" t="s">
        <v>141</v>
      </c>
      <c r="F22" s="28" t="s">
        <v>155</v>
      </c>
      <c r="G22" s="28" t="str">
        <f>HYPERLINK("mailto:richerlariviere@gmail.com","richerlariviere@gmail.com")</f>
        <v>richerlariviere@gmail.com</v>
      </c>
      <c r="H22" s="28"/>
      <c r="I22" s="28" t="s">
        <v>156</v>
      </c>
      <c r="J22" s="28"/>
      <c r="K22" s="28" t="s">
        <v>53</v>
      </c>
      <c r="L22" s="28" t="s">
        <v>157</v>
      </c>
      <c r="M22" s="28" t="s">
        <v>44</v>
      </c>
      <c r="N22" s="28" t="s">
        <v>44</v>
      </c>
      <c r="O22" s="28">
        <v>1</v>
      </c>
      <c r="P22" s="28">
        <v>1</v>
      </c>
      <c r="Q22" s="29"/>
      <c r="R22" s="13" t="str">
        <f t="shared" si="1"/>
        <v>Richer Larivière</v>
      </c>
    </row>
    <row r="23" spans="1:18" ht="12.75" x14ac:dyDescent="0.2">
      <c r="A23" s="13" t="str">
        <f t="shared" si="0"/>
        <v>Kévin Beauséjour</v>
      </c>
      <c r="B23" s="28" t="s">
        <v>158</v>
      </c>
      <c r="C23" s="28" t="s">
        <v>159</v>
      </c>
      <c r="D23" s="28" t="s">
        <v>160</v>
      </c>
      <c r="E23" s="28" t="s">
        <v>141</v>
      </c>
      <c r="F23" s="28" t="s">
        <v>161</v>
      </c>
      <c r="G23" s="28" t="s">
        <v>162</v>
      </c>
      <c r="H23" s="28"/>
      <c r="I23" s="28" t="s">
        <v>156</v>
      </c>
      <c r="J23" s="28"/>
      <c r="K23" s="28" t="s">
        <v>53</v>
      </c>
      <c r="L23" s="28" t="s">
        <v>157</v>
      </c>
      <c r="M23" s="28" t="s">
        <v>44</v>
      </c>
      <c r="N23" s="28" t="s">
        <v>55</v>
      </c>
      <c r="O23" s="28">
        <v>1</v>
      </c>
      <c r="P23" s="28">
        <v>0.5</v>
      </c>
      <c r="Q23" s="29"/>
      <c r="R23" s="13" t="str">
        <f t="shared" si="1"/>
        <v>Kévin Beauséjour</v>
      </c>
    </row>
    <row r="24" spans="1:18" ht="12.75" x14ac:dyDescent="0.2">
      <c r="A24" s="13" t="str">
        <f t="shared" si="0"/>
        <v>Jérémy Marsolais</v>
      </c>
      <c r="B24" s="28" t="s">
        <v>163</v>
      </c>
      <c r="C24" s="28" t="s">
        <v>164</v>
      </c>
      <c r="D24" s="28" t="s">
        <v>165</v>
      </c>
      <c r="E24" s="28" t="s">
        <v>88</v>
      </c>
      <c r="F24" s="28" t="s">
        <v>166</v>
      </c>
      <c r="G24" s="28" t="s">
        <v>167</v>
      </c>
      <c r="H24" s="28" t="s">
        <v>168</v>
      </c>
      <c r="I24" s="28" t="s">
        <v>169</v>
      </c>
      <c r="J24" s="28" t="s">
        <v>170</v>
      </c>
      <c r="K24" s="28" t="s">
        <v>53</v>
      </c>
      <c r="L24" s="28" t="s">
        <v>171</v>
      </c>
      <c r="M24" s="28" t="s">
        <v>44</v>
      </c>
      <c r="N24" s="28" t="s">
        <v>44</v>
      </c>
      <c r="O24" s="28">
        <v>2.5</v>
      </c>
      <c r="P24" s="28">
        <v>1.5</v>
      </c>
      <c r="Q24" s="29"/>
      <c r="R24" s="13" t="str">
        <f t="shared" si="1"/>
        <v>Jérémy Marsolais</v>
      </c>
    </row>
    <row r="25" spans="1:18" ht="12.75" x14ac:dyDescent="0.2">
      <c r="A25" s="13" t="str">
        <f t="shared" si="0"/>
        <v>Marie-Philippe Gill</v>
      </c>
      <c r="B25" s="28" t="s">
        <v>172</v>
      </c>
      <c r="C25" s="28" t="s">
        <v>173</v>
      </c>
      <c r="D25" s="28" t="s">
        <v>174</v>
      </c>
      <c r="E25" s="28" t="s">
        <v>141</v>
      </c>
      <c r="F25" s="30" t="s">
        <v>175</v>
      </c>
      <c r="G25" s="31" t="s">
        <v>176</v>
      </c>
      <c r="H25" s="31"/>
      <c r="I25" s="30" t="s">
        <v>177</v>
      </c>
      <c r="J25" s="30"/>
      <c r="K25" s="28" t="s">
        <v>53</v>
      </c>
      <c r="L25" s="30" t="s">
        <v>178</v>
      </c>
      <c r="M25" s="28" t="s">
        <v>55</v>
      </c>
      <c r="N25" s="28" t="s">
        <v>55</v>
      </c>
      <c r="O25" s="28">
        <v>1</v>
      </c>
      <c r="P25" s="28">
        <v>0</v>
      </c>
      <c r="Q25" s="29"/>
      <c r="R25" s="13" t="str">
        <f t="shared" si="1"/>
        <v>Marie-Philippe Gill</v>
      </c>
    </row>
    <row r="26" spans="1:18" ht="12.75" x14ac:dyDescent="0.2">
      <c r="A26" s="13" t="str">
        <f t="shared" si="0"/>
        <v>Kim Michot</v>
      </c>
      <c r="B26" s="28" t="s">
        <v>179</v>
      </c>
      <c r="C26" s="28" t="s">
        <v>180</v>
      </c>
      <c r="D26" s="28" t="s">
        <v>181</v>
      </c>
      <c r="E26" s="28" t="s">
        <v>129</v>
      </c>
      <c r="F26" s="30" t="s">
        <v>182</v>
      </c>
      <c r="G26" s="31" t="s">
        <v>183</v>
      </c>
      <c r="H26" s="31"/>
      <c r="I26" s="30" t="s">
        <v>184</v>
      </c>
      <c r="J26" s="30"/>
      <c r="K26" s="28" t="s">
        <v>184</v>
      </c>
      <c r="L26" s="30" t="s">
        <v>185</v>
      </c>
      <c r="M26" s="28" t="s">
        <v>55</v>
      </c>
      <c r="N26" s="28" t="s">
        <v>55</v>
      </c>
      <c r="O26" s="28">
        <v>2</v>
      </c>
      <c r="P26" s="28">
        <v>0</v>
      </c>
      <c r="Q26" s="29"/>
      <c r="R26" s="13" t="str">
        <f t="shared" si="1"/>
        <v>Kim Michot</v>
      </c>
    </row>
    <row r="27" spans="1:18" ht="12.75" x14ac:dyDescent="0.2">
      <c r="A27" s="13" t="str">
        <f t="shared" si="0"/>
        <v>Gabriella Cavero-Linares</v>
      </c>
      <c r="B27" s="28" t="s">
        <v>186</v>
      </c>
      <c r="C27" s="28" t="s">
        <v>187</v>
      </c>
      <c r="D27" s="28" t="s">
        <v>188</v>
      </c>
      <c r="E27" s="28" t="s">
        <v>129</v>
      </c>
      <c r="F27" s="28" t="s">
        <v>189</v>
      </c>
      <c r="G27" s="28" t="s">
        <v>190</v>
      </c>
      <c r="H27" s="28"/>
      <c r="I27" s="28" t="s">
        <v>118</v>
      </c>
      <c r="J27" s="28"/>
      <c r="K27" s="28" t="s">
        <v>53</v>
      </c>
      <c r="L27" s="28" t="s">
        <v>191</v>
      </c>
      <c r="M27" s="28" t="s">
        <v>55</v>
      </c>
      <c r="N27" s="28" t="s">
        <v>55</v>
      </c>
      <c r="O27" s="28">
        <v>1</v>
      </c>
      <c r="P27" s="28">
        <v>0</v>
      </c>
      <c r="Q27" s="29"/>
      <c r="R27" s="13" t="str">
        <f t="shared" si="1"/>
        <v>Gabriella Cavero-Linares</v>
      </c>
    </row>
    <row r="28" spans="1:18" ht="12.75" x14ac:dyDescent="0.2">
      <c r="A28" s="13" t="str">
        <f t="shared" si="0"/>
        <v>Branavan Inthiranathan</v>
      </c>
      <c r="B28" s="28" t="s">
        <v>192</v>
      </c>
      <c r="C28" s="28" t="s">
        <v>193</v>
      </c>
      <c r="D28" s="28" t="s">
        <v>194</v>
      </c>
      <c r="E28" s="28" t="s">
        <v>88</v>
      </c>
      <c r="F28" s="28" t="s">
        <v>195</v>
      </c>
      <c r="G28" s="28" t="s">
        <v>196</v>
      </c>
      <c r="H28" s="28"/>
      <c r="I28" s="28" t="s">
        <v>197</v>
      </c>
      <c r="J28" s="28"/>
      <c r="K28" s="28" t="s">
        <v>198</v>
      </c>
      <c r="L28" s="28" t="s">
        <v>199</v>
      </c>
      <c r="M28" s="28" t="s">
        <v>55</v>
      </c>
      <c r="N28" s="28" t="s">
        <v>55</v>
      </c>
      <c r="O28" s="28">
        <v>1</v>
      </c>
      <c r="P28" s="28">
        <v>0</v>
      </c>
      <c r="Q28" s="29"/>
      <c r="R28" s="13" t="str">
        <f t="shared" si="1"/>
        <v>Branavan Inthiranathan</v>
      </c>
    </row>
    <row r="29" spans="1:18" ht="12.75" x14ac:dyDescent="0.2">
      <c r="A29" s="13" t="str">
        <f t="shared" si="0"/>
        <v>Alexis Buisson</v>
      </c>
      <c r="B29" s="28" t="s">
        <v>200</v>
      </c>
      <c r="C29" s="28" t="s">
        <v>99</v>
      </c>
      <c r="D29" s="28" t="s">
        <v>201</v>
      </c>
      <c r="E29" s="28" t="s">
        <v>59</v>
      </c>
      <c r="F29" s="28"/>
      <c r="G29" s="28"/>
      <c r="H29" s="28"/>
      <c r="I29" s="28"/>
      <c r="J29" s="28"/>
      <c r="K29" s="28" t="s">
        <v>53</v>
      </c>
      <c r="L29" s="28"/>
      <c r="M29" s="28" t="s">
        <v>55</v>
      </c>
      <c r="N29" s="28" t="s">
        <v>55</v>
      </c>
      <c r="O29" s="28">
        <v>2.5</v>
      </c>
      <c r="P29" s="28">
        <v>0</v>
      </c>
      <c r="Q29" s="29"/>
      <c r="R29" s="13" t="str">
        <f t="shared" si="1"/>
        <v>Alexis Buisson</v>
      </c>
    </row>
    <row r="30" spans="1:18" ht="12.75" x14ac:dyDescent="0.2">
      <c r="A30" s="13" t="str">
        <f t="shared" si="0"/>
        <v>Audrey Huynh</v>
      </c>
      <c r="B30" s="32" t="s">
        <v>202</v>
      </c>
      <c r="C30" s="32" t="s">
        <v>203</v>
      </c>
      <c r="D30" s="32" t="s">
        <v>204</v>
      </c>
      <c r="E30" s="32" t="s">
        <v>38</v>
      </c>
      <c r="F30" s="32" t="s">
        <v>205</v>
      </c>
      <c r="G30" s="33" t="s">
        <v>206</v>
      </c>
      <c r="H30" s="33"/>
      <c r="I30" s="32" t="s">
        <v>42</v>
      </c>
      <c r="J30" s="32"/>
      <c r="K30" s="28" t="s">
        <v>42</v>
      </c>
      <c r="L30" s="32" t="s">
        <v>207</v>
      </c>
      <c r="M30" s="32" t="s">
        <v>55</v>
      </c>
      <c r="N30" s="32" t="s">
        <v>55</v>
      </c>
      <c r="O30" s="29">
        <v>1</v>
      </c>
      <c r="P30" s="29">
        <v>0</v>
      </c>
      <c r="Q30" s="29"/>
      <c r="R30" s="13" t="str">
        <f t="shared" si="1"/>
        <v>Audrey Huynh</v>
      </c>
    </row>
    <row r="31" spans="1:18" ht="12.75" x14ac:dyDescent="0.2">
      <c r="A31" s="13" t="str">
        <f t="shared" si="0"/>
        <v>David Pelletier</v>
      </c>
      <c r="B31" s="32" t="s">
        <v>208</v>
      </c>
      <c r="C31" s="32" t="s">
        <v>209</v>
      </c>
      <c r="D31" s="32" t="s">
        <v>210</v>
      </c>
      <c r="E31" s="32" t="s">
        <v>88</v>
      </c>
      <c r="F31" s="32" t="s">
        <v>211</v>
      </c>
      <c r="G31" s="33" t="s">
        <v>212</v>
      </c>
      <c r="H31" s="33"/>
      <c r="I31" s="32" t="s">
        <v>213</v>
      </c>
      <c r="J31" s="32"/>
      <c r="K31" s="28" t="s">
        <v>53</v>
      </c>
      <c r="L31" s="32" t="s">
        <v>214</v>
      </c>
      <c r="M31" s="32" t="s">
        <v>55</v>
      </c>
      <c r="N31" s="32" t="s">
        <v>55</v>
      </c>
      <c r="O31" s="29">
        <v>2.5</v>
      </c>
      <c r="P31" s="29">
        <v>0</v>
      </c>
      <c r="Q31" s="29"/>
      <c r="R31" s="13" t="str">
        <f t="shared" si="1"/>
        <v>David Pelletier</v>
      </c>
    </row>
    <row r="32" spans="1:18" ht="12.75" x14ac:dyDescent="0.2">
      <c r="A32" s="13" t="str">
        <f t="shared" si="0"/>
        <v>David Martin</v>
      </c>
      <c r="B32" s="32" t="s">
        <v>215</v>
      </c>
      <c r="C32" s="32" t="s">
        <v>209</v>
      </c>
      <c r="D32" s="32" t="s">
        <v>216</v>
      </c>
      <c r="E32" s="32" t="s">
        <v>88</v>
      </c>
      <c r="F32" s="32" t="s">
        <v>217</v>
      </c>
      <c r="G32" s="33" t="s">
        <v>218</v>
      </c>
      <c r="H32" s="33"/>
      <c r="I32" s="32" t="s">
        <v>219</v>
      </c>
      <c r="J32" s="32"/>
      <c r="K32" s="28" t="s">
        <v>53</v>
      </c>
      <c r="L32" s="32" t="s">
        <v>220</v>
      </c>
      <c r="M32" s="32" t="s">
        <v>55</v>
      </c>
      <c r="N32" s="32" t="s">
        <v>55</v>
      </c>
      <c r="O32" s="29">
        <v>2.5</v>
      </c>
      <c r="P32" s="29">
        <v>0</v>
      </c>
      <c r="Q32" s="29"/>
      <c r="R32" s="13" t="str">
        <f t="shared" si="1"/>
        <v>David Martin</v>
      </c>
    </row>
    <row r="33" spans="1:18" ht="12.75" x14ac:dyDescent="0.2">
      <c r="A33" s="13" t="str">
        <f t="shared" si="0"/>
        <v>Nicolas Marchand</v>
      </c>
      <c r="B33" s="32" t="s">
        <v>221</v>
      </c>
      <c r="C33" s="32" t="s">
        <v>222</v>
      </c>
      <c r="D33" s="32" t="s">
        <v>223</v>
      </c>
      <c r="E33" s="32" t="s">
        <v>88</v>
      </c>
      <c r="F33" s="32"/>
      <c r="G33" s="33" t="s">
        <v>224</v>
      </c>
      <c r="H33" s="33"/>
      <c r="I33" s="32"/>
      <c r="J33" s="32"/>
      <c r="K33" s="28" t="s">
        <v>53</v>
      </c>
      <c r="L33" s="32" t="s">
        <v>207</v>
      </c>
      <c r="M33" s="32" t="s">
        <v>55</v>
      </c>
      <c r="N33" s="32" t="s">
        <v>55</v>
      </c>
      <c r="O33" s="29">
        <v>2.5</v>
      </c>
      <c r="P33" s="29">
        <v>0</v>
      </c>
      <c r="Q33" s="29"/>
      <c r="R33" s="13" t="str">
        <f t="shared" si="1"/>
        <v>Nicolas Marchand</v>
      </c>
    </row>
    <row r="34" spans="1:18" ht="12.75" customHeight="1" x14ac:dyDescent="0.2">
      <c r="A34" s="13" t="str">
        <f t="shared" si="0"/>
        <v>Joel Brisson</v>
      </c>
      <c r="B34" s="32" t="s">
        <v>225</v>
      </c>
      <c r="C34" s="32" t="s">
        <v>226</v>
      </c>
      <c r="D34" s="32" t="s">
        <v>227</v>
      </c>
      <c r="E34" s="32" t="s">
        <v>38</v>
      </c>
      <c r="F34" s="32" t="s">
        <v>228</v>
      </c>
      <c r="G34" s="33" t="s">
        <v>229</v>
      </c>
      <c r="H34" s="33"/>
      <c r="I34" s="32" t="s">
        <v>230</v>
      </c>
      <c r="J34" s="32"/>
      <c r="K34" s="28" t="s">
        <v>53</v>
      </c>
      <c r="L34" s="28" t="s">
        <v>54</v>
      </c>
      <c r="M34" s="32" t="s">
        <v>44</v>
      </c>
      <c r="N34" s="32" t="s">
        <v>55</v>
      </c>
      <c r="O34" s="29">
        <v>3</v>
      </c>
      <c r="P34" s="29">
        <v>1</v>
      </c>
      <c r="Q34" s="29"/>
      <c r="R34" s="13" t="str">
        <f t="shared" si="1"/>
        <v>Joel Brisson</v>
      </c>
    </row>
    <row r="35" spans="1:18" ht="15" customHeight="1" x14ac:dyDescent="0.25">
      <c r="A35" s="13" t="str">
        <f t="shared" si="0"/>
        <v>Souames Sid-Ali-Islem</v>
      </c>
      <c r="B35" s="34" t="s">
        <v>231</v>
      </c>
      <c r="C35" s="35" t="s">
        <v>232</v>
      </c>
      <c r="D35" s="36" t="s">
        <v>233</v>
      </c>
      <c r="E35" s="36" t="s">
        <v>59</v>
      </c>
      <c r="F35" s="37" t="s">
        <v>82</v>
      </c>
      <c r="G35" s="38" t="s">
        <v>234</v>
      </c>
      <c r="H35" s="38"/>
      <c r="I35" s="36" t="s">
        <v>235</v>
      </c>
      <c r="J35" s="36"/>
      <c r="K35" s="36" t="s">
        <v>235</v>
      </c>
      <c r="L35" s="36" t="s">
        <v>236</v>
      </c>
      <c r="M35" s="36" t="s">
        <v>44</v>
      </c>
      <c r="N35" s="36" t="s">
        <v>55</v>
      </c>
      <c r="O35" s="39">
        <v>1</v>
      </c>
      <c r="P35" s="39">
        <v>1</v>
      </c>
      <c r="Q35" s="40"/>
      <c r="R35" s="13" t="str">
        <f t="shared" si="1"/>
        <v>Souames Sid-Ali-Islem</v>
      </c>
    </row>
    <row r="36" spans="1:18" ht="12.75" x14ac:dyDescent="0.2">
      <c r="E36" s="41"/>
      <c r="F36" s="41"/>
      <c r="G36" s="41"/>
      <c r="H36" s="41"/>
      <c r="I36" s="41"/>
      <c r="J36" s="41"/>
      <c r="K36" s="41"/>
      <c r="L36" s="41"/>
      <c r="M36" s="41"/>
      <c r="N36" s="41"/>
    </row>
    <row r="37" spans="1:18" ht="12.75" x14ac:dyDescent="0.2"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</row>
    <row r="38" spans="1:18" ht="12.75" x14ac:dyDescent="0.2">
      <c r="B38" s="41"/>
      <c r="C38" s="41" t="s">
        <v>237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</row>
    <row r="39" spans="1:18" ht="12.75" x14ac:dyDescent="0.2"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</row>
    <row r="40" spans="1:18" ht="12.75" x14ac:dyDescent="0.2"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</row>
    <row r="41" spans="1:18" ht="12.75" x14ac:dyDescent="0.2"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</row>
    <row r="42" spans="1:18" ht="12.75" x14ac:dyDescent="0.2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</row>
    <row r="43" spans="1:18" ht="12.75" x14ac:dyDescent="0.2"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</row>
    <row r="44" spans="1:18" ht="12.75" x14ac:dyDescent="0.2"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</row>
    <row r="45" spans="1:18" ht="12.75" x14ac:dyDescent="0.2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</row>
    <row r="46" spans="1:18" ht="12.75" x14ac:dyDescent="0.2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</row>
    <row r="47" spans="1:18" ht="12.75" x14ac:dyDescent="0.2"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</row>
    <row r="48" spans="1:18" ht="12.75" x14ac:dyDescent="0.2"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</row>
    <row r="49" spans="2:14" ht="12.75" x14ac:dyDescent="0.2"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</row>
    <row r="50" spans="2:14" ht="12.75" x14ac:dyDescent="0.2"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</row>
    <row r="51" spans="2:14" ht="12.75" x14ac:dyDescent="0.2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</row>
    <row r="52" spans="2:14" ht="12.75" x14ac:dyDescent="0.2"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</row>
    <row r="53" spans="2:14" ht="12.75" x14ac:dyDescent="0.2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</row>
    <row r="54" spans="2:14" ht="12.75" x14ac:dyDescent="0.2"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</row>
    <row r="55" spans="2:14" ht="12.75" x14ac:dyDescent="0.2"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</row>
    <row r="56" spans="2:14" ht="12.75" x14ac:dyDescent="0.2"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</row>
    <row r="57" spans="2:14" ht="12.75" x14ac:dyDescent="0.2"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</row>
    <row r="58" spans="2:14" ht="12.75" x14ac:dyDescent="0.2"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</row>
    <row r="59" spans="2:14" ht="12.75" x14ac:dyDescent="0.2"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</row>
    <row r="60" spans="2:14" ht="12.75" x14ac:dyDescent="0.2"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</row>
    <row r="61" spans="2:14" ht="12.75" x14ac:dyDescent="0.2"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</row>
    <row r="62" spans="2:14" ht="12.75" x14ac:dyDescent="0.2"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</row>
    <row r="63" spans="2:14" ht="12.75" x14ac:dyDescent="0.2"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</row>
    <row r="64" spans="2:14" ht="12.75" x14ac:dyDescent="0.2"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</row>
    <row r="65" spans="2:14" ht="12.75" x14ac:dyDescent="0.2"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</row>
    <row r="66" spans="2:14" ht="12.75" x14ac:dyDescent="0.2"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</row>
    <row r="67" spans="2:14" ht="12.75" x14ac:dyDescent="0.2"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</row>
    <row r="68" spans="2:14" ht="12.75" x14ac:dyDescent="0.2"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</row>
    <row r="69" spans="2:14" ht="12.75" x14ac:dyDescent="0.2"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</row>
    <row r="70" spans="2:14" ht="12.75" x14ac:dyDescent="0.2"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</row>
    <row r="71" spans="2:14" ht="12.75" x14ac:dyDescent="0.2"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</row>
    <row r="72" spans="2:14" ht="12.75" x14ac:dyDescent="0.2"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</row>
    <row r="73" spans="2:14" ht="12.75" x14ac:dyDescent="0.2"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</row>
    <row r="74" spans="2:14" ht="12.75" x14ac:dyDescent="0.2"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</row>
    <row r="75" spans="2:14" ht="12.75" x14ac:dyDescent="0.2"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</row>
    <row r="76" spans="2:14" ht="12.75" x14ac:dyDescent="0.2"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</row>
    <row r="77" spans="2:14" ht="12.75" x14ac:dyDescent="0.2"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</row>
    <row r="78" spans="2:14" ht="12.75" x14ac:dyDescent="0.2"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</row>
    <row r="79" spans="2:14" ht="12.75" x14ac:dyDescent="0.2"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</row>
    <row r="80" spans="2:14" ht="12.75" x14ac:dyDescent="0.2"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</row>
    <row r="81" spans="2:14" ht="12.75" x14ac:dyDescent="0.2"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</row>
    <row r="82" spans="2:14" ht="12.75" x14ac:dyDescent="0.2"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</row>
    <row r="83" spans="2:14" ht="12.75" x14ac:dyDescent="0.2"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</row>
    <row r="84" spans="2:14" ht="12.75" x14ac:dyDescent="0.2"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</row>
    <row r="85" spans="2:14" ht="12.75" x14ac:dyDescent="0.2"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</row>
    <row r="86" spans="2:14" ht="12.75" x14ac:dyDescent="0.2"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</row>
    <row r="87" spans="2:14" ht="12.75" x14ac:dyDescent="0.2"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</row>
    <row r="88" spans="2:14" ht="12.75" x14ac:dyDescent="0.2"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</row>
    <row r="89" spans="2:14" ht="12.75" x14ac:dyDescent="0.2"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</row>
    <row r="90" spans="2:14" ht="12.75" x14ac:dyDescent="0.2"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</row>
    <row r="91" spans="2:14" ht="12.75" x14ac:dyDescent="0.2"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</row>
    <row r="92" spans="2:14" ht="12.75" x14ac:dyDescent="0.2"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</row>
    <row r="93" spans="2:14" ht="12.75" x14ac:dyDescent="0.2"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</row>
    <row r="94" spans="2:14" ht="12.75" x14ac:dyDescent="0.2"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</row>
    <row r="95" spans="2:14" ht="12.75" x14ac:dyDescent="0.2"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</row>
    <row r="96" spans="2:14" ht="12.75" x14ac:dyDescent="0.2"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</row>
    <row r="97" spans="2:14" ht="12.75" x14ac:dyDescent="0.2"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</row>
    <row r="98" spans="2:14" ht="12.75" x14ac:dyDescent="0.2"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</row>
    <row r="99" spans="2:14" ht="12.75" x14ac:dyDescent="0.2"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</row>
    <row r="100" spans="2:14" ht="12.75" x14ac:dyDescent="0.2"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</row>
    <row r="101" spans="2:14" ht="12.75" x14ac:dyDescent="0.2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</row>
    <row r="102" spans="2:14" ht="12.75" x14ac:dyDescent="0.2"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</row>
    <row r="103" spans="2:14" ht="12.75" x14ac:dyDescent="0.2"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</row>
    <row r="104" spans="2:14" ht="12.75" x14ac:dyDescent="0.2"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</row>
    <row r="105" spans="2:14" ht="12.75" x14ac:dyDescent="0.2"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</row>
    <row r="106" spans="2:14" ht="12.75" x14ac:dyDescent="0.2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</row>
    <row r="107" spans="2:14" ht="12.75" x14ac:dyDescent="0.2"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</row>
    <row r="108" spans="2:14" ht="12.75" x14ac:dyDescent="0.2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</row>
    <row r="109" spans="2:14" ht="12.75" x14ac:dyDescent="0.2"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</row>
    <row r="110" spans="2:14" ht="12.75" x14ac:dyDescent="0.2"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</row>
    <row r="111" spans="2:14" ht="12.75" x14ac:dyDescent="0.2"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</row>
    <row r="112" spans="2:14" ht="12.75" x14ac:dyDescent="0.2"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</row>
    <row r="113" spans="2:14" ht="12.75" x14ac:dyDescent="0.2"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</row>
    <row r="114" spans="2:14" ht="12.75" x14ac:dyDescent="0.2"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</row>
    <row r="115" spans="2:14" ht="12.75" x14ac:dyDescent="0.2"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</row>
    <row r="116" spans="2:14" ht="12.75" x14ac:dyDescent="0.2"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</row>
    <row r="117" spans="2:14" ht="12.75" x14ac:dyDescent="0.2"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</row>
    <row r="118" spans="2:14" ht="12.75" x14ac:dyDescent="0.2"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</row>
    <row r="119" spans="2:14" ht="12.75" x14ac:dyDescent="0.2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</row>
    <row r="120" spans="2:14" ht="12.75" x14ac:dyDescent="0.2"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</row>
    <row r="121" spans="2:14" ht="12.75" x14ac:dyDescent="0.2"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</row>
    <row r="122" spans="2:14" ht="12.75" x14ac:dyDescent="0.2"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</row>
    <row r="123" spans="2:14" ht="12.75" x14ac:dyDescent="0.2"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</row>
    <row r="124" spans="2:14" ht="12.75" x14ac:dyDescent="0.2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</row>
    <row r="125" spans="2:14" ht="12.75" x14ac:dyDescent="0.2"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</row>
    <row r="126" spans="2:14" ht="12.75" x14ac:dyDescent="0.2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</row>
    <row r="127" spans="2:14" ht="12.75" x14ac:dyDescent="0.2"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</row>
    <row r="128" spans="2:14" ht="12.75" x14ac:dyDescent="0.2"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</row>
    <row r="129" spans="2:14" ht="12.75" x14ac:dyDescent="0.2"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</row>
    <row r="130" spans="2:14" ht="12.75" x14ac:dyDescent="0.2"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</row>
    <row r="131" spans="2:14" ht="12.75" x14ac:dyDescent="0.2"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</row>
    <row r="132" spans="2:14" ht="12.75" x14ac:dyDescent="0.2"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</row>
    <row r="133" spans="2:14" ht="12.75" x14ac:dyDescent="0.2"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</row>
    <row r="134" spans="2:14" ht="12.75" x14ac:dyDescent="0.2"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</row>
    <row r="135" spans="2:14" ht="12.75" x14ac:dyDescent="0.2"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</row>
    <row r="136" spans="2:14" ht="12.75" x14ac:dyDescent="0.2"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</row>
    <row r="137" spans="2:14" ht="12.75" x14ac:dyDescent="0.2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</row>
    <row r="138" spans="2:14" ht="12.75" x14ac:dyDescent="0.2"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</row>
    <row r="139" spans="2:14" ht="12.75" x14ac:dyDescent="0.2"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</row>
    <row r="140" spans="2:14" ht="12.75" x14ac:dyDescent="0.2"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</row>
    <row r="141" spans="2:14" ht="12.75" x14ac:dyDescent="0.2"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</row>
    <row r="142" spans="2:14" ht="12.75" x14ac:dyDescent="0.2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</row>
    <row r="143" spans="2:14" ht="12.75" x14ac:dyDescent="0.2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</row>
    <row r="144" spans="2:14" ht="12.75" x14ac:dyDescent="0.2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</row>
    <row r="145" spans="2:14" ht="12.75" x14ac:dyDescent="0.2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</row>
    <row r="146" spans="2:14" ht="12.75" x14ac:dyDescent="0.2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</row>
    <row r="147" spans="2:14" ht="12.75" x14ac:dyDescent="0.2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</row>
    <row r="148" spans="2:14" ht="12.75" x14ac:dyDescent="0.2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</row>
    <row r="149" spans="2:14" ht="12.75" x14ac:dyDescent="0.2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</row>
    <row r="150" spans="2:14" ht="12.75" x14ac:dyDescent="0.2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</row>
    <row r="151" spans="2:14" ht="12.75" x14ac:dyDescent="0.2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</row>
    <row r="152" spans="2:14" ht="12.75" x14ac:dyDescent="0.2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</row>
    <row r="153" spans="2:14" ht="12.75" x14ac:dyDescent="0.2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</row>
    <row r="154" spans="2:14" ht="12.75" x14ac:dyDescent="0.2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</row>
    <row r="155" spans="2:14" ht="12.75" x14ac:dyDescent="0.2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</row>
    <row r="156" spans="2:14" ht="12.75" x14ac:dyDescent="0.2"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</row>
    <row r="157" spans="2:14" ht="12.75" x14ac:dyDescent="0.2"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</row>
    <row r="158" spans="2:14" ht="12.75" x14ac:dyDescent="0.2"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</row>
    <row r="159" spans="2:14" ht="12.75" x14ac:dyDescent="0.2"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</row>
    <row r="160" spans="2:14" ht="12.75" x14ac:dyDescent="0.2"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</row>
    <row r="161" spans="2:14" ht="12.75" x14ac:dyDescent="0.2"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</row>
    <row r="162" spans="2:14" ht="12.75" x14ac:dyDescent="0.2"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</row>
    <row r="163" spans="2:14" ht="12.75" x14ac:dyDescent="0.2"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</row>
    <row r="164" spans="2:14" ht="12.75" x14ac:dyDescent="0.2"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</row>
    <row r="165" spans="2:14" ht="12.75" x14ac:dyDescent="0.2"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</row>
    <row r="166" spans="2:14" ht="12.75" x14ac:dyDescent="0.2"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</row>
    <row r="167" spans="2:14" ht="12.75" x14ac:dyDescent="0.2"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</row>
    <row r="168" spans="2:14" ht="12.75" x14ac:dyDescent="0.2"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</row>
    <row r="169" spans="2:14" ht="12.75" x14ac:dyDescent="0.2"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</row>
    <row r="170" spans="2:14" ht="12.75" x14ac:dyDescent="0.2"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</row>
    <row r="171" spans="2:14" ht="12.75" x14ac:dyDescent="0.2"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</row>
    <row r="172" spans="2:14" ht="12.75" x14ac:dyDescent="0.2"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</row>
    <row r="173" spans="2:14" ht="12.75" x14ac:dyDescent="0.2"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</row>
    <row r="174" spans="2:14" ht="12.75" x14ac:dyDescent="0.2"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</row>
    <row r="175" spans="2:14" ht="12.75" x14ac:dyDescent="0.2"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</row>
    <row r="176" spans="2:14" ht="12.75" x14ac:dyDescent="0.2"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</row>
    <row r="177" spans="2:14" ht="12.75" x14ac:dyDescent="0.2"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</row>
    <row r="178" spans="2:14" ht="12.75" x14ac:dyDescent="0.2"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</row>
    <row r="179" spans="2:14" ht="12.75" x14ac:dyDescent="0.2"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</row>
    <row r="180" spans="2:14" ht="12.75" x14ac:dyDescent="0.2"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</row>
    <row r="181" spans="2:14" ht="12.75" x14ac:dyDescent="0.2"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</row>
    <row r="182" spans="2:14" ht="12.75" x14ac:dyDescent="0.2"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</row>
    <row r="183" spans="2:14" ht="12.75" x14ac:dyDescent="0.2"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</row>
    <row r="184" spans="2:14" ht="12.75" x14ac:dyDescent="0.2"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</row>
    <row r="185" spans="2:14" ht="12.75" x14ac:dyDescent="0.2"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</row>
    <row r="186" spans="2:14" ht="12.75" x14ac:dyDescent="0.2"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</row>
    <row r="187" spans="2:14" ht="12.75" x14ac:dyDescent="0.2"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</row>
    <row r="188" spans="2:14" ht="12.75" x14ac:dyDescent="0.2"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</row>
    <row r="189" spans="2:14" ht="12.75" x14ac:dyDescent="0.2"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</row>
    <row r="190" spans="2:14" ht="12.75" x14ac:dyDescent="0.2"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</row>
    <row r="191" spans="2:14" ht="12.75" x14ac:dyDescent="0.2"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</row>
    <row r="192" spans="2:14" ht="12.75" x14ac:dyDescent="0.2"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</row>
    <row r="193" spans="2:14" ht="12.75" x14ac:dyDescent="0.2"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</row>
    <row r="194" spans="2:14" ht="12.75" x14ac:dyDescent="0.2"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</row>
    <row r="195" spans="2:14" ht="12.75" x14ac:dyDescent="0.2"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</row>
    <row r="196" spans="2:14" ht="12.75" x14ac:dyDescent="0.2"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</row>
    <row r="197" spans="2:14" ht="12.75" x14ac:dyDescent="0.2"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</row>
    <row r="198" spans="2:14" ht="12.75" x14ac:dyDescent="0.2"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</row>
    <row r="199" spans="2:14" ht="12.75" x14ac:dyDescent="0.2"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</row>
    <row r="200" spans="2:14" ht="12.75" x14ac:dyDescent="0.2"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</row>
    <row r="201" spans="2:14" ht="12.75" x14ac:dyDescent="0.2">
      <c r="B201" s="41"/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</row>
    <row r="202" spans="2:14" ht="12.75" x14ac:dyDescent="0.2">
      <c r="B202" s="41"/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</row>
    <row r="203" spans="2:14" ht="12.75" x14ac:dyDescent="0.2"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</row>
    <row r="204" spans="2:14" ht="12.75" x14ac:dyDescent="0.2"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</row>
    <row r="205" spans="2:14" ht="12.75" x14ac:dyDescent="0.2"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</row>
    <row r="206" spans="2:14" ht="12.75" x14ac:dyDescent="0.2">
      <c r="B206" s="41"/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</row>
    <row r="207" spans="2:14" ht="12.75" x14ac:dyDescent="0.2">
      <c r="B207" s="41"/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</row>
    <row r="208" spans="2:14" ht="12.75" x14ac:dyDescent="0.2">
      <c r="B208" s="41"/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M208" s="41"/>
      <c r="N208" s="41"/>
    </row>
    <row r="209" spans="2:14" ht="12.75" x14ac:dyDescent="0.2">
      <c r="B209" s="41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</row>
    <row r="210" spans="2:14" ht="12.75" x14ac:dyDescent="0.2">
      <c r="B210" s="41"/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</row>
    <row r="211" spans="2:14" ht="12.75" x14ac:dyDescent="0.2">
      <c r="B211" s="41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</row>
    <row r="212" spans="2:14" ht="12.75" x14ac:dyDescent="0.2">
      <c r="B212" s="41"/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</row>
    <row r="213" spans="2:14" ht="12.75" x14ac:dyDescent="0.2">
      <c r="B213" s="41"/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</row>
    <row r="214" spans="2:14" ht="12.75" x14ac:dyDescent="0.2">
      <c r="B214" s="41"/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</row>
    <row r="215" spans="2:14" ht="12.75" x14ac:dyDescent="0.2">
      <c r="B215" s="41"/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</row>
    <row r="216" spans="2:14" ht="12.75" x14ac:dyDescent="0.2">
      <c r="B216" s="41"/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</row>
    <row r="217" spans="2:14" ht="12.75" x14ac:dyDescent="0.2">
      <c r="B217" s="41"/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</row>
    <row r="218" spans="2:14" ht="12.75" x14ac:dyDescent="0.2">
      <c r="B218" s="41"/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</row>
    <row r="219" spans="2:14" ht="12.75" x14ac:dyDescent="0.2"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</row>
    <row r="220" spans="2:14" ht="12.75" x14ac:dyDescent="0.2">
      <c r="B220" s="41"/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M220" s="41"/>
      <c r="N220" s="41"/>
    </row>
    <row r="221" spans="2:14" ht="12.75" x14ac:dyDescent="0.2">
      <c r="B221" s="41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</row>
    <row r="222" spans="2:14" ht="12.75" x14ac:dyDescent="0.2">
      <c r="B222" s="41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</row>
    <row r="223" spans="2:14" ht="12.75" x14ac:dyDescent="0.2">
      <c r="B223" s="41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</row>
    <row r="224" spans="2:14" ht="12.75" x14ac:dyDescent="0.2"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</row>
    <row r="225" spans="2:14" ht="12.75" x14ac:dyDescent="0.2">
      <c r="B225" s="41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</row>
    <row r="226" spans="2:14" ht="12.75" x14ac:dyDescent="0.2">
      <c r="B226" s="41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</row>
    <row r="227" spans="2:14" ht="12.75" x14ac:dyDescent="0.2">
      <c r="B227" s="41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</row>
    <row r="228" spans="2:14" ht="12.75" x14ac:dyDescent="0.2">
      <c r="B228" s="41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</row>
    <row r="229" spans="2:14" ht="12.75" x14ac:dyDescent="0.2">
      <c r="B229" s="41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</row>
    <row r="230" spans="2:14" ht="12.75" x14ac:dyDescent="0.2">
      <c r="B230" s="41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</row>
    <row r="231" spans="2:14" ht="12.75" x14ac:dyDescent="0.2">
      <c r="B231" s="41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</row>
    <row r="232" spans="2:14" ht="12.75" x14ac:dyDescent="0.2">
      <c r="B232" s="41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</row>
    <row r="233" spans="2:14" ht="12.75" x14ac:dyDescent="0.2">
      <c r="B233" s="41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</row>
    <row r="234" spans="2:14" ht="12.75" x14ac:dyDescent="0.2">
      <c r="B234" s="41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</row>
    <row r="235" spans="2:14" ht="12.75" x14ac:dyDescent="0.2">
      <c r="B235" s="41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</row>
    <row r="236" spans="2:14" ht="12.75" x14ac:dyDescent="0.2">
      <c r="B236" s="41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</row>
    <row r="237" spans="2:14" ht="12.75" x14ac:dyDescent="0.2"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</row>
    <row r="238" spans="2:14" ht="12.75" x14ac:dyDescent="0.2">
      <c r="B238" s="41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</row>
    <row r="239" spans="2:14" ht="12.75" x14ac:dyDescent="0.2">
      <c r="B239" s="41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</row>
    <row r="240" spans="2:14" ht="12.75" x14ac:dyDescent="0.2">
      <c r="B240" s="41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</row>
    <row r="241" spans="2:14" ht="12.75" x14ac:dyDescent="0.2">
      <c r="B241" s="41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</row>
    <row r="242" spans="2:14" ht="12.75" x14ac:dyDescent="0.2"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</row>
    <row r="243" spans="2:14" ht="12.75" x14ac:dyDescent="0.2">
      <c r="B243" s="41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</row>
    <row r="244" spans="2:14" ht="12.75" x14ac:dyDescent="0.2">
      <c r="B244" s="41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</row>
    <row r="245" spans="2:14" ht="12.75" x14ac:dyDescent="0.2">
      <c r="B245" s="41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</row>
    <row r="246" spans="2:14" ht="12.75" x14ac:dyDescent="0.2">
      <c r="B246" s="41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</row>
    <row r="247" spans="2:14" ht="12.75" x14ac:dyDescent="0.2">
      <c r="B247" s="41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</row>
    <row r="248" spans="2:14" ht="12.75" x14ac:dyDescent="0.2">
      <c r="B248" s="41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</row>
    <row r="249" spans="2:14" ht="12.75" x14ac:dyDescent="0.2">
      <c r="B249" s="41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</row>
    <row r="250" spans="2:14" ht="12.75" x14ac:dyDescent="0.2">
      <c r="B250" s="41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</row>
    <row r="251" spans="2:14" ht="12.75" x14ac:dyDescent="0.2">
      <c r="B251" s="41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</row>
    <row r="252" spans="2:14" ht="12.75" x14ac:dyDescent="0.2">
      <c r="B252" s="41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</row>
    <row r="253" spans="2:14" ht="12.75" x14ac:dyDescent="0.2">
      <c r="B253" s="41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</row>
    <row r="254" spans="2:14" ht="12.75" x14ac:dyDescent="0.2">
      <c r="B254" s="41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</row>
    <row r="255" spans="2:14" ht="12.75" x14ac:dyDescent="0.2">
      <c r="B255" s="41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</row>
    <row r="256" spans="2:14" ht="12.75" x14ac:dyDescent="0.2">
      <c r="B256" s="41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</row>
    <row r="257" spans="2:14" ht="12.75" x14ac:dyDescent="0.2"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</row>
    <row r="258" spans="2:14" ht="12.75" x14ac:dyDescent="0.2"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</row>
    <row r="259" spans="2:14" ht="12.75" x14ac:dyDescent="0.2"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</row>
    <row r="260" spans="2:14" ht="12.75" x14ac:dyDescent="0.2"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</row>
    <row r="261" spans="2:14" ht="12.75" x14ac:dyDescent="0.2">
      <c r="B261" s="41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</row>
    <row r="262" spans="2:14" ht="12.75" x14ac:dyDescent="0.2">
      <c r="B262" s="41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</row>
    <row r="263" spans="2:14" ht="12.75" x14ac:dyDescent="0.2">
      <c r="B263" s="41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</row>
    <row r="264" spans="2:14" ht="12.75" x14ac:dyDescent="0.2">
      <c r="B264" s="41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</row>
    <row r="265" spans="2:14" ht="12.75" x14ac:dyDescent="0.2">
      <c r="B265" s="41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</row>
    <row r="266" spans="2:14" ht="12.75" x14ac:dyDescent="0.2">
      <c r="B266" s="41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</row>
    <row r="267" spans="2:14" ht="12.75" x14ac:dyDescent="0.2">
      <c r="B267" s="41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</row>
    <row r="268" spans="2:14" ht="12.75" x14ac:dyDescent="0.2"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</row>
    <row r="269" spans="2:14" ht="12.75" x14ac:dyDescent="0.2">
      <c r="B269" s="41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</row>
    <row r="270" spans="2:14" ht="12.75" x14ac:dyDescent="0.2">
      <c r="B270" s="41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</row>
    <row r="271" spans="2:14" ht="12.75" x14ac:dyDescent="0.2">
      <c r="B271" s="41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</row>
    <row r="272" spans="2:14" ht="12.75" x14ac:dyDescent="0.2">
      <c r="B272" s="41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</row>
    <row r="273" spans="2:14" ht="12.75" x14ac:dyDescent="0.2">
      <c r="B273" s="41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</row>
    <row r="274" spans="2:14" ht="12.75" x14ac:dyDescent="0.2">
      <c r="B274" s="41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</row>
    <row r="275" spans="2:14" ht="12.75" x14ac:dyDescent="0.2">
      <c r="B275" s="41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</row>
    <row r="276" spans="2:14" ht="12.75" x14ac:dyDescent="0.2">
      <c r="B276" s="41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</row>
    <row r="277" spans="2:14" ht="12.75" x14ac:dyDescent="0.2">
      <c r="B277" s="41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</row>
    <row r="278" spans="2:14" ht="12.75" x14ac:dyDescent="0.2"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</row>
    <row r="279" spans="2:14" ht="12.75" x14ac:dyDescent="0.2">
      <c r="B279" s="41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</row>
    <row r="280" spans="2:14" ht="12.75" x14ac:dyDescent="0.2">
      <c r="B280" s="41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</row>
    <row r="281" spans="2:14" ht="12.75" x14ac:dyDescent="0.2">
      <c r="B281" s="41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</row>
    <row r="282" spans="2:14" ht="12.75" x14ac:dyDescent="0.2">
      <c r="B282" s="41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</row>
    <row r="283" spans="2:14" ht="12.75" x14ac:dyDescent="0.2">
      <c r="B283" s="41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</row>
    <row r="284" spans="2:14" ht="12.75" x14ac:dyDescent="0.2">
      <c r="B284" s="41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</row>
    <row r="285" spans="2:14" ht="12.75" x14ac:dyDescent="0.2">
      <c r="B285" s="41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</row>
    <row r="286" spans="2:14" ht="12.75" x14ac:dyDescent="0.2">
      <c r="B286" s="41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</row>
    <row r="287" spans="2:14" ht="12.75" x14ac:dyDescent="0.2">
      <c r="B287" s="41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</row>
    <row r="288" spans="2:14" ht="12.75" x14ac:dyDescent="0.2">
      <c r="B288" s="41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</row>
    <row r="289" spans="2:14" ht="12.75" x14ac:dyDescent="0.2">
      <c r="B289" s="41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</row>
    <row r="290" spans="2:14" ht="12.75" x14ac:dyDescent="0.2">
      <c r="B290" s="41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</row>
    <row r="291" spans="2:14" ht="12.75" x14ac:dyDescent="0.2">
      <c r="B291" s="41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</row>
    <row r="292" spans="2:14" ht="12.75" x14ac:dyDescent="0.2">
      <c r="B292" s="41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</row>
    <row r="293" spans="2:14" ht="12.75" x14ac:dyDescent="0.2">
      <c r="B293" s="41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</row>
    <row r="294" spans="2:14" ht="12.75" x14ac:dyDescent="0.2">
      <c r="B294" s="41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</row>
    <row r="295" spans="2:14" ht="12.75" x14ac:dyDescent="0.2">
      <c r="B295" s="41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</row>
    <row r="296" spans="2:14" ht="12.75" x14ac:dyDescent="0.2"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</row>
    <row r="297" spans="2:14" ht="12.75" x14ac:dyDescent="0.2">
      <c r="B297" s="41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</row>
    <row r="298" spans="2:14" ht="12.75" x14ac:dyDescent="0.2">
      <c r="B298" s="41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</row>
    <row r="299" spans="2:14" ht="12.75" x14ac:dyDescent="0.2">
      <c r="B299" s="41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</row>
    <row r="300" spans="2:14" ht="12.75" x14ac:dyDescent="0.2">
      <c r="B300" s="41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</row>
    <row r="301" spans="2:14" ht="12.75" x14ac:dyDescent="0.2">
      <c r="B301" s="41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</row>
    <row r="302" spans="2:14" ht="12.75" x14ac:dyDescent="0.2">
      <c r="B302" s="41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</row>
    <row r="303" spans="2:14" ht="12.75" x14ac:dyDescent="0.2"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</row>
    <row r="304" spans="2:14" ht="12.75" x14ac:dyDescent="0.2">
      <c r="B304" s="41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</row>
    <row r="305" spans="2:14" ht="12.75" x14ac:dyDescent="0.2">
      <c r="B305" s="41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</row>
    <row r="306" spans="2:14" ht="12.75" x14ac:dyDescent="0.2">
      <c r="B306" s="41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</row>
    <row r="307" spans="2:14" ht="12.75" x14ac:dyDescent="0.2">
      <c r="B307" s="41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</row>
    <row r="308" spans="2:14" ht="12.75" x14ac:dyDescent="0.2">
      <c r="B308" s="41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</row>
    <row r="309" spans="2:14" ht="12.75" x14ac:dyDescent="0.2">
      <c r="B309" s="41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</row>
    <row r="310" spans="2:14" ht="12.75" x14ac:dyDescent="0.2">
      <c r="B310" s="41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</row>
    <row r="311" spans="2:14" ht="12.75" x14ac:dyDescent="0.2"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</row>
    <row r="312" spans="2:14" ht="12.75" x14ac:dyDescent="0.2"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</row>
    <row r="313" spans="2:14" ht="12.75" x14ac:dyDescent="0.2"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</row>
    <row r="314" spans="2:14" ht="12.75" x14ac:dyDescent="0.2"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</row>
    <row r="315" spans="2:14" ht="12.75" x14ac:dyDescent="0.2"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</row>
    <row r="316" spans="2:14" ht="12.75" x14ac:dyDescent="0.2"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</row>
    <row r="317" spans="2:14" ht="12.75" x14ac:dyDescent="0.2"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</row>
    <row r="318" spans="2:14" ht="12.75" x14ac:dyDescent="0.2"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</row>
    <row r="319" spans="2:14" ht="12.75" x14ac:dyDescent="0.2"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</row>
    <row r="320" spans="2:14" ht="12.75" x14ac:dyDescent="0.2"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</row>
    <row r="321" spans="2:14" ht="12.75" x14ac:dyDescent="0.2"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</row>
    <row r="322" spans="2:14" ht="12.75" x14ac:dyDescent="0.2"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</row>
    <row r="323" spans="2:14" ht="12.75" x14ac:dyDescent="0.2"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</row>
    <row r="324" spans="2:14" ht="12.75" x14ac:dyDescent="0.2"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</row>
    <row r="325" spans="2:14" ht="12.75" x14ac:dyDescent="0.2"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</row>
    <row r="326" spans="2:14" ht="12.75" x14ac:dyDescent="0.2"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</row>
    <row r="327" spans="2:14" ht="12.75" x14ac:dyDescent="0.2"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</row>
    <row r="328" spans="2:14" ht="12.75" x14ac:dyDescent="0.2"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</row>
    <row r="329" spans="2:14" ht="12.75" x14ac:dyDescent="0.2"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</row>
    <row r="330" spans="2:14" ht="12.75" x14ac:dyDescent="0.2"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</row>
    <row r="331" spans="2:14" ht="12.75" x14ac:dyDescent="0.2"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</row>
    <row r="332" spans="2:14" ht="12.75" x14ac:dyDescent="0.2"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</row>
    <row r="333" spans="2:14" ht="12.75" x14ac:dyDescent="0.2"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</row>
    <row r="334" spans="2:14" ht="12.75" x14ac:dyDescent="0.2"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</row>
    <row r="335" spans="2:14" ht="12.75" x14ac:dyDescent="0.2"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</row>
    <row r="336" spans="2:14" ht="12.75" x14ac:dyDescent="0.2"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</row>
    <row r="337" spans="2:14" ht="12.75" x14ac:dyDescent="0.2"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</row>
    <row r="338" spans="2:14" ht="12.75" x14ac:dyDescent="0.2"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</row>
    <row r="339" spans="2:14" ht="12.75" x14ac:dyDescent="0.2"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</row>
    <row r="340" spans="2:14" ht="12.75" x14ac:dyDescent="0.2"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</row>
    <row r="341" spans="2:14" ht="12.75" x14ac:dyDescent="0.2"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</row>
    <row r="342" spans="2:14" ht="12.75" x14ac:dyDescent="0.2"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</row>
    <row r="343" spans="2:14" ht="12.75" x14ac:dyDescent="0.2"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</row>
    <row r="344" spans="2:14" ht="12.75" x14ac:dyDescent="0.2"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</row>
    <row r="345" spans="2:14" ht="12.75" x14ac:dyDescent="0.2"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</row>
    <row r="346" spans="2:14" ht="12.75" x14ac:dyDescent="0.2"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</row>
    <row r="347" spans="2:14" ht="12.75" x14ac:dyDescent="0.2"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</row>
    <row r="348" spans="2:14" ht="12.75" x14ac:dyDescent="0.2"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</row>
    <row r="349" spans="2:14" ht="12.75" x14ac:dyDescent="0.2"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</row>
    <row r="350" spans="2:14" ht="12.75" x14ac:dyDescent="0.2"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</row>
    <row r="351" spans="2:14" ht="12.75" x14ac:dyDescent="0.2"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</row>
    <row r="352" spans="2:14" ht="12.75" x14ac:dyDescent="0.2"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</row>
    <row r="353" spans="2:14" ht="12.75" x14ac:dyDescent="0.2"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</row>
    <row r="354" spans="2:14" ht="12.75" x14ac:dyDescent="0.2"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</row>
    <row r="355" spans="2:14" ht="12.75" x14ac:dyDescent="0.2"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</row>
    <row r="356" spans="2:14" ht="12.75" x14ac:dyDescent="0.2"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</row>
    <row r="357" spans="2:14" ht="12.75" x14ac:dyDescent="0.2"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</row>
    <row r="358" spans="2:14" ht="12.75" x14ac:dyDescent="0.2"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</row>
    <row r="359" spans="2:14" ht="12.75" x14ac:dyDescent="0.2"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</row>
    <row r="360" spans="2:14" ht="12.75" x14ac:dyDescent="0.2"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</row>
    <row r="361" spans="2:14" ht="12.75" x14ac:dyDescent="0.2"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</row>
    <row r="362" spans="2:14" ht="12.75" x14ac:dyDescent="0.2"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</row>
    <row r="363" spans="2:14" ht="12.75" x14ac:dyDescent="0.2"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</row>
    <row r="364" spans="2:14" ht="12.75" x14ac:dyDescent="0.2"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</row>
    <row r="365" spans="2:14" ht="12.75" x14ac:dyDescent="0.2"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</row>
    <row r="366" spans="2:14" ht="12.75" x14ac:dyDescent="0.2"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</row>
    <row r="367" spans="2:14" ht="12.75" x14ac:dyDescent="0.2"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</row>
    <row r="368" spans="2:14" ht="12.75" x14ac:dyDescent="0.2"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</row>
    <row r="369" spans="2:14" ht="12.75" x14ac:dyDescent="0.2"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</row>
    <row r="370" spans="2:14" ht="12.75" x14ac:dyDescent="0.2"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</row>
    <row r="371" spans="2:14" ht="12.75" x14ac:dyDescent="0.2"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</row>
    <row r="372" spans="2:14" ht="12.75" x14ac:dyDescent="0.2"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</row>
    <row r="373" spans="2:14" ht="12.75" x14ac:dyDescent="0.2"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</row>
    <row r="374" spans="2:14" ht="12.75" x14ac:dyDescent="0.2"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</row>
    <row r="375" spans="2:14" ht="12.75" x14ac:dyDescent="0.2"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</row>
    <row r="376" spans="2:14" ht="12.75" x14ac:dyDescent="0.2"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</row>
    <row r="377" spans="2:14" ht="12.75" x14ac:dyDescent="0.2"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</row>
    <row r="378" spans="2:14" ht="12.75" x14ac:dyDescent="0.2"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</row>
    <row r="379" spans="2:14" ht="12.75" x14ac:dyDescent="0.2"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</row>
    <row r="380" spans="2:14" ht="12.75" x14ac:dyDescent="0.2"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</row>
    <row r="381" spans="2:14" ht="12.75" x14ac:dyDescent="0.2"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</row>
    <row r="382" spans="2:14" ht="12.75" x14ac:dyDescent="0.2"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</row>
    <row r="383" spans="2:14" ht="12.75" x14ac:dyDescent="0.2"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</row>
    <row r="384" spans="2:14" ht="12.75" x14ac:dyDescent="0.2"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</row>
    <row r="385" spans="2:14" ht="12.75" x14ac:dyDescent="0.2"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</row>
    <row r="386" spans="2:14" ht="12.75" x14ac:dyDescent="0.2"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</row>
    <row r="387" spans="2:14" ht="12.75" x14ac:dyDescent="0.2"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</row>
    <row r="388" spans="2:14" ht="12.75" x14ac:dyDescent="0.2"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</row>
    <row r="389" spans="2:14" ht="12.75" x14ac:dyDescent="0.2"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</row>
    <row r="390" spans="2:14" ht="12.75" x14ac:dyDescent="0.2"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</row>
    <row r="391" spans="2:14" ht="12.75" x14ac:dyDescent="0.2"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</row>
    <row r="392" spans="2:14" ht="12.75" x14ac:dyDescent="0.2"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</row>
    <row r="393" spans="2:14" ht="12.75" x14ac:dyDescent="0.2"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</row>
    <row r="394" spans="2:14" ht="12.75" x14ac:dyDescent="0.2"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</row>
    <row r="395" spans="2:14" ht="12.75" x14ac:dyDescent="0.2"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</row>
    <row r="396" spans="2:14" ht="12.75" x14ac:dyDescent="0.2"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</row>
    <row r="397" spans="2:14" ht="12.75" x14ac:dyDescent="0.2"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</row>
    <row r="398" spans="2:14" ht="12.75" x14ac:dyDescent="0.2"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</row>
    <row r="399" spans="2:14" ht="12.75" x14ac:dyDescent="0.2"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</row>
    <row r="400" spans="2:14" ht="12.75" x14ac:dyDescent="0.2"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</row>
    <row r="401" spans="2:14" ht="12.75" x14ac:dyDescent="0.2"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</row>
    <row r="402" spans="2:14" ht="12.75" x14ac:dyDescent="0.2"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</row>
    <row r="403" spans="2:14" ht="12.75" x14ac:dyDescent="0.2"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</row>
    <row r="404" spans="2:14" ht="12.75" x14ac:dyDescent="0.2"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</row>
    <row r="405" spans="2:14" ht="12.75" x14ac:dyDescent="0.2"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</row>
    <row r="406" spans="2:14" ht="12.75" x14ac:dyDescent="0.2"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</row>
    <row r="407" spans="2:14" ht="12.75" x14ac:dyDescent="0.2"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</row>
    <row r="408" spans="2:14" ht="12.75" x14ac:dyDescent="0.2"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</row>
    <row r="409" spans="2:14" ht="12.75" x14ac:dyDescent="0.2"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</row>
    <row r="410" spans="2:14" ht="12.75" x14ac:dyDescent="0.2"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</row>
    <row r="411" spans="2:14" ht="12.75" x14ac:dyDescent="0.2"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</row>
    <row r="412" spans="2:14" ht="12.75" x14ac:dyDescent="0.2"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</row>
    <row r="413" spans="2:14" ht="12.75" x14ac:dyDescent="0.2"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</row>
    <row r="414" spans="2:14" ht="12.75" x14ac:dyDescent="0.2"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</row>
    <row r="415" spans="2:14" ht="12.75" x14ac:dyDescent="0.2"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</row>
    <row r="416" spans="2:14" ht="12.75" x14ac:dyDescent="0.2"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</row>
    <row r="417" spans="2:14" ht="12.75" x14ac:dyDescent="0.2"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</row>
    <row r="418" spans="2:14" ht="12.75" x14ac:dyDescent="0.2"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</row>
    <row r="419" spans="2:14" ht="12.75" x14ac:dyDescent="0.2"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</row>
    <row r="420" spans="2:14" ht="12.75" x14ac:dyDescent="0.2"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</row>
    <row r="421" spans="2:14" ht="12.75" x14ac:dyDescent="0.2"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</row>
    <row r="422" spans="2:14" ht="12.75" x14ac:dyDescent="0.2"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</row>
    <row r="423" spans="2:14" ht="12.75" x14ac:dyDescent="0.2"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</row>
    <row r="424" spans="2:14" ht="12.75" x14ac:dyDescent="0.2"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</row>
    <row r="425" spans="2:14" ht="12.75" x14ac:dyDescent="0.2"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</row>
    <row r="426" spans="2:14" ht="12.75" x14ac:dyDescent="0.2"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</row>
    <row r="427" spans="2:14" ht="12.75" x14ac:dyDescent="0.2"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</row>
    <row r="428" spans="2:14" ht="12.75" x14ac:dyDescent="0.2"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</row>
    <row r="429" spans="2:14" ht="12.75" x14ac:dyDescent="0.2"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</row>
    <row r="430" spans="2:14" ht="12.75" x14ac:dyDescent="0.2"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</row>
    <row r="431" spans="2:14" ht="12.75" x14ac:dyDescent="0.2"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</row>
    <row r="432" spans="2:14" ht="12.75" x14ac:dyDescent="0.2"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</row>
    <row r="433" spans="2:14" ht="12.75" x14ac:dyDescent="0.2"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</row>
    <row r="434" spans="2:14" ht="12.75" x14ac:dyDescent="0.2"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</row>
    <row r="435" spans="2:14" ht="12.75" x14ac:dyDescent="0.2"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</row>
    <row r="436" spans="2:14" ht="12.75" x14ac:dyDescent="0.2"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</row>
    <row r="437" spans="2:14" ht="12.75" x14ac:dyDescent="0.2"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</row>
    <row r="438" spans="2:14" ht="12.75" x14ac:dyDescent="0.2"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</row>
    <row r="439" spans="2:14" ht="12.75" x14ac:dyDescent="0.2"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</row>
    <row r="440" spans="2:14" ht="12.75" x14ac:dyDescent="0.2"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</row>
    <row r="441" spans="2:14" ht="12.75" x14ac:dyDescent="0.2"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</row>
    <row r="442" spans="2:14" ht="12.75" x14ac:dyDescent="0.2"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</row>
    <row r="443" spans="2:14" ht="12.75" x14ac:dyDescent="0.2"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</row>
    <row r="444" spans="2:14" ht="12.75" x14ac:dyDescent="0.2"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</row>
    <row r="445" spans="2:14" ht="12.75" x14ac:dyDescent="0.2"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</row>
    <row r="446" spans="2:14" ht="12.75" x14ac:dyDescent="0.2"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</row>
    <row r="447" spans="2:14" ht="12.75" x14ac:dyDescent="0.2"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</row>
    <row r="448" spans="2:14" ht="12.75" x14ac:dyDescent="0.2"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</row>
    <row r="449" spans="2:14" ht="12.75" x14ac:dyDescent="0.2"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</row>
    <row r="450" spans="2:14" ht="12.75" x14ac:dyDescent="0.2"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</row>
    <row r="451" spans="2:14" ht="12.75" x14ac:dyDescent="0.2"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</row>
    <row r="452" spans="2:14" ht="12.75" x14ac:dyDescent="0.2"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</row>
    <row r="453" spans="2:14" ht="12.75" x14ac:dyDescent="0.2"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</row>
    <row r="454" spans="2:14" ht="12.75" x14ac:dyDescent="0.2"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</row>
    <row r="455" spans="2:14" ht="12.75" x14ac:dyDescent="0.2"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</row>
    <row r="456" spans="2:14" ht="12.75" x14ac:dyDescent="0.2"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</row>
    <row r="457" spans="2:14" ht="12.75" x14ac:dyDescent="0.2"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</row>
    <row r="458" spans="2:14" ht="12.75" x14ac:dyDescent="0.2"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</row>
    <row r="459" spans="2:14" ht="12.75" x14ac:dyDescent="0.2"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</row>
    <row r="460" spans="2:14" ht="12.75" x14ac:dyDescent="0.2"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</row>
    <row r="461" spans="2:14" ht="12.75" x14ac:dyDescent="0.2"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</row>
    <row r="462" spans="2:14" ht="12.75" x14ac:dyDescent="0.2"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</row>
    <row r="463" spans="2:14" ht="12.75" x14ac:dyDescent="0.2">
      <c r="B463" s="41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</row>
    <row r="464" spans="2:14" ht="12.75" x14ac:dyDescent="0.2">
      <c r="B464" s="41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</row>
    <row r="465" spans="2:14" ht="12.75" x14ac:dyDescent="0.2">
      <c r="B465" s="41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</row>
    <row r="466" spans="2:14" ht="12.75" x14ac:dyDescent="0.2">
      <c r="B466" s="41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</row>
    <row r="467" spans="2:14" ht="12.75" x14ac:dyDescent="0.2">
      <c r="B467" s="41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</row>
    <row r="468" spans="2:14" ht="12.75" x14ac:dyDescent="0.2">
      <c r="B468" s="41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</row>
    <row r="469" spans="2:14" ht="12.75" x14ac:dyDescent="0.2">
      <c r="B469" s="41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</row>
    <row r="470" spans="2:14" ht="12.75" x14ac:dyDescent="0.2">
      <c r="B470" s="41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</row>
    <row r="471" spans="2:14" ht="12.75" x14ac:dyDescent="0.2">
      <c r="B471" s="41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</row>
    <row r="472" spans="2:14" ht="12.75" x14ac:dyDescent="0.2">
      <c r="B472" s="41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</row>
    <row r="473" spans="2:14" ht="12.75" x14ac:dyDescent="0.2">
      <c r="B473" s="41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</row>
    <row r="474" spans="2:14" ht="12.75" x14ac:dyDescent="0.2">
      <c r="B474" s="41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</row>
    <row r="475" spans="2:14" ht="12.75" x14ac:dyDescent="0.2">
      <c r="B475" s="41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</row>
    <row r="476" spans="2:14" ht="12.75" x14ac:dyDescent="0.2">
      <c r="B476" s="41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</row>
    <row r="477" spans="2:14" ht="12.75" x14ac:dyDescent="0.2"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</row>
    <row r="478" spans="2:14" ht="12.75" x14ac:dyDescent="0.2">
      <c r="B478" s="41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</row>
    <row r="479" spans="2:14" ht="12.75" x14ac:dyDescent="0.2">
      <c r="B479" s="41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</row>
    <row r="480" spans="2:14" ht="12.75" x14ac:dyDescent="0.2">
      <c r="B480" s="41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</row>
    <row r="481" spans="2:14" ht="12.75" x14ac:dyDescent="0.2">
      <c r="B481" s="41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</row>
    <row r="482" spans="2:14" ht="12.75" x14ac:dyDescent="0.2">
      <c r="B482" s="41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</row>
    <row r="483" spans="2:14" ht="12.75" x14ac:dyDescent="0.2">
      <c r="B483" s="41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</row>
    <row r="484" spans="2:14" ht="12.75" x14ac:dyDescent="0.2">
      <c r="B484" s="41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</row>
    <row r="485" spans="2:14" ht="12.75" x14ac:dyDescent="0.2">
      <c r="B485" s="41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</row>
    <row r="486" spans="2:14" ht="12.75" x14ac:dyDescent="0.2">
      <c r="B486" s="41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</row>
    <row r="487" spans="2:14" ht="12.75" x14ac:dyDescent="0.2">
      <c r="B487" s="41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</row>
    <row r="488" spans="2:14" ht="12.75" x14ac:dyDescent="0.2">
      <c r="B488" s="41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</row>
    <row r="489" spans="2:14" ht="12.75" x14ac:dyDescent="0.2">
      <c r="B489" s="41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</row>
    <row r="490" spans="2:14" ht="12.75" x14ac:dyDescent="0.2">
      <c r="B490" s="41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</row>
    <row r="491" spans="2:14" ht="12.75" x14ac:dyDescent="0.2">
      <c r="B491" s="41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</row>
    <row r="492" spans="2:14" ht="12.75" x14ac:dyDescent="0.2">
      <c r="B492" s="41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</row>
    <row r="493" spans="2:14" ht="12.75" x14ac:dyDescent="0.2">
      <c r="B493" s="41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</row>
    <row r="494" spans="2:14" ht="12.75" x14ac:dyDescent="0.2">
      <c r="B494" s="41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</row>
    <row r="495" spans="2:14" ht="12.75" x14ac:dyDescent="0.2"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</row>
    <row r="496" spans="2:14" ht="12.75" x14ac:dyDescent="0.2">
      <c r="B496" s="41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</row>
    <row r="497" spans="2:14" ht="12.75" x14ac:dyDescent="0.2">
      <c r="B497" s="41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</row>
    <row r="498" spans="2:14" ht="12.75" x14ac:dyDescent="0.2">
      <c r="B498" s="41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</row>
    <row r="499" spans="2:14" ht="12.75" x14ac:dyDescent="0.2">
      <c r="B499" s="41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</row>
    <row r="500" spans="2:14" ht="12.75" x14ac:dyDescent="0.2">
      <c r="B500" s="41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</row>
    <row r="501" spans="2:14" ht="12.75" x14ac:dyDescent="0.2">
      <c r="B501" s="41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</row>
    <row r="502" spans="2:14" ht="12.75" x14ac:dyDescent="0.2">
      <c r="B502" s="41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</row>
    <row r="503" spans="2:14" ht="12.75" x14ac:dyDescent="0.2">
      <c r="B503" s="41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</row>
    <row r="504" spans="2:14" ht="12.75" x14ac:dyDescent="0.2">
      <c r="B504" s="41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</row>
    <row r="505" spans="2:14" ht="12.75" x14ac:dyDescent="0.2">
      <c r="B505" s="41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</row>
    <row r="506" spans="2:14" ht="12.75" x14ac:dyDescent="0.2">
      <c r="B506" s="41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</row>
    <row r="507" spans="2:14" ht="12.75" x14ac:dyDescent="0.2">
      <c r="B507" s="41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</row>
    <row r="508" spans="2:14" ht="12.75" x14ac:dyDescent="0.2">
      <c r="B508" s="41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</row>
    <row r="509" spans="2:14" ht="12.75" x14ac:dyDescent="0.2">
      <c r="B509" s="41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</row>
    <row r="510" spans="2:14" ht="12.75" x14ac:dyDescent="0.2"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</row>
    <row r="511" spans="2:14" ht="12.75" x14ac:dyDescent="0.2">
      <c r="B511" s="41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</row>
    <row r="512" spans="2:14" ht="12.75" x14ac:dyDescent="0.2">
      <c r="B512" s="41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</row>
    <row r="513" spans="2:14" ht="12.75" x14ac:dyDescent="0.2"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</row>
    <row r="514" spans="2:14" ht="12.75" x14ac:dyDescent="0.2">
      <c r="B514" s="41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</row>
    <row r="515" spans="2:14" ht="12.75" x14ac:dyDescent="0.2">
      <c r="B515" s="41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</row>
    <row r="516" spans="2:14" ht="12.75" x14ac:dyDescent="0.2">
      <c r="B516" s="41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</row>
    <row r="517" spans="2:14" ht="12.75" x14ac:dyDescent="0.2">
      <c r="B517" s="41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</row>
    <row r="518" spans="2:14" ht="12.75" x14ac:dyDescent="0.2">
      <c r="B518" s="41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</row>
    <row r="519" spans="2:14" ht="12.75" x14ac:dyDescent="0.2">
      <c r="B519" s="41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</row>
    <row r="520" spans="2:14" ht="12.75" x14ac:dyDescent="0.2">
      <c r="B520" s="41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</row>
    <row r="521" spans="2:14" ht="12.75" x14ac:dyDescent="0.2">
      <c r="B521" s="41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</row>
    <row r="522" spans="2:14" ht="12.75" x14ac:dyDescent="0.2">
      <c r="B522" s="41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</row>
    <row r="523" spans="2:14" ht="12.75" x14ac:dyDescent="0.2">
      <c r="B523" s="41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</row>
    <row r="524" spans="2:14" ht="12.75" x14ac:dyDescent="0.2">
      <c r="B524" s="41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</row>
    <row r="525" spans="2:14" ht="12.75" x14ac:dyDescent="0.2">
      <c r="B525" s="41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</row>
    <row r="526" spans="2:14" ht="12.75" x14ac:dyDescent="0.2">
      <c r="B526" s="41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</row>
    <row r="527" spans="2:14" ht="12.75" x14ac:dyDescent="0.2">
      <c r="B527" s="41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</row>
    <row r="528" spans="2:14" ht="12.75" x14ac:dyDescent="0.2">
      <c r="B528" s="41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</row>
    <row r="529" spans="2:14" ht="12.75" x14ac:dyDescent="0.2">
      <c r="B529" s="41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</row>
    <row r="530" spans="2:14" ht="12.75" x14ac:dyDescent="0.2">
      <c r="B530" s="41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</row>
    <row r="531" spans="2:14" ht="12.75" x14ac:dyDescent="0.2">
      <c r="B531" s="41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</row>
    <row r="532" spans="2:14" ht="12.75" x14ac:dyDescent="0.2"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</row>
    <row r="533" spans="2:14" ht="12.75" x14ac:dyDescent="0.2">
      <c r="B533" s="41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</row>
    <row r="534" spans="2:14" ht="12.75" x14ac:dyDescent="0.2">
      <c r="B534" s="41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</row>
    <row r="535" spans="2:14" ht="12.75" x14ac:dyDescent="0.2">
      <c r="B535" s="41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</row>
    <row r="536" spans="2:14" ht="12.75" x14ac:dyDescent="0.2">
      <c r="B536" s="41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</row>
    <row r="537" spans="2:14" ht="12.75" x14ac:dyDescent="0.2">
      <c r="B537" s="41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</row>
    <row r="538" spans="2:14" ht="12.75" x14ac:dyDescent="0.2">
      <c r="B538" s="41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</row>
    <row r="539" spans="2:14" ht="12.75" x14ac:dyDescent="0.2">
      <c r="B539" s="41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</row>
    <row r="540" spans="2:14" ht="12.75" x14ac:dyDescent="0.2">
      <c r="B540" s="41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</row>
    <row r="541" spans="2:14" ht="12.75" x14ac:dyDescent="0.2">
      <c r="B541" s="41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</row>
    <row r="542" spans="2:14" ht="12.75" x14ac:dyDescent="0.2">
      <c r="B542" s="41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</row>
    <row r="543" spans="2:14" ht="12.75" x14ac:dyDescent="0.2">
      <c r="B543" s="41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</row>
    <row r="544" spans="2:14" ht="12.75" x14ac:dyDescent="0.2">
      <c r="B544" s="41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</row>
    <row r="545" spans="2:14" ht="12.75" x14ac:dyDescent="0.2">
      <c r="B545" s="41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</row>
    <row r="546" spans="2:14" ht="12.75" x14ac:dyDescent="0.2">
      <c r="B546" s="41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</row>
    <row r="547" spans="2:14" ht="12.75" x14ac:dyDescent="0.2">
      <c r="B547" s="41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</row>
    <row r="548" spans="2:14" ht="12.75" x14ac:dyDescent="0.2">
      <c r="B548" s="41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</row>
    <row r="549" spans="2:14" ht="12.75" x14ac:dyDescent="0.2">
      <c r="B549" s="41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</row>
    <row r="550" spans="2:14" ht="12.75" x14ac:dyDescent="0.2"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</row>
    <row r="551" spans="2:14" ht="12.75" x14ac:dyDescent="0.2">
      <c r="B551" s="41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</row>
    <row r="552" spans="2:14" ht="12.75" x14ac:dyDescent="0.2">
      <c r="B552" s="41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</row>
    <row r="553" spans="2:14" ht="12.75" x14ac:dyDescent="0.2">
      <c r="B553" s="41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</row>
    <row r="554" spans="2:14" ht="12.75" x14ac:dyDescent="0.2">
      <c r="B554" s="41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</row>
    <row r="555" spans="2:14" ht="12.75" x14ac:dyDescent="0.2">
      <c r="B555" s="41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</row>
    <row r="556" spans="2:14" ht="12.75" x14ac:dyDescent="0.2">
      <c r="B556" s="41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</row>
    <row r="557" spans="2:14" ht="12.75" x14ac:dyDescent="0.2">
      <c r="B557" s="41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</row>
    <row r="558" spans="2:14" ht="12.75" x14ac:dyDescent="0.2">
      <c r="B558" s="41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</row>
    <row r="559" spans="2:14" ht="12.75" x14ac:dyDescent="0.2">
      <c r="B559" s="41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</row>
    <row r="560" spans="2:14" ht="12.75" x14ac:dyDescent="0.2">
      <c r="B560" s="41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</row>
    <row r="561" spans="2:14" ht="12.75" x14ac:dyDescent="0.2">
      <c r="B561" s="41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</row>
    <row r="562" spans="2:14" ht="12.75" x14ac:dyDescent="0.2">
      <c r="B562" s="41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</row>
    <row r="563" spans="2:14" ht="12.75" x14ac:dyDescent="0.2">
      <c r="B563" s="41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</row>
    <row r="564" spans="2:14" ht="12.75" x14ac:dyDescent="0.2">
      <c r="B564" s="41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</row>
    <row r="565" spans="2:14" ht="12.75" x14ac:dyDescent="0.2">
      <c r="B565" s="41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</row>
    <row r="566" spans="2:14" ht="12.75" x14ac:dyDescent="0.2">
      <c r="B566" s="41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</row>
    <row r="567" spans="2:14" ht="12.75" x14ac:dyDescent="0.2">
      <c r="B567" s="41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</row>
    <row r="568" spans="2:14" ht="12.75" x14ac:dyDescent="0.2"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</row>
    <row r="569" spans="2:14" ht="12.75" x14ac:dyDescent="0.2">
      <c r="B569" s="41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M569" s="41"/>
      <c r="N569" s="41"/>
    </row>
    <row r="570" spans="2:14" ht="12.75" x14ac:dyDescent="0.2">
      <c r="B570" s="41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M570" s="41"/>
      <c r="N570" s="41"/>
    </row>
    <row r="571" spans="2:14" ht="12.75" x14ac:dyDescent="0.2">
      <c r="B571" s="41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M571" s="41"/>
      <c r="N571" s="41"/>
    </row>
    <row r="572" spans="2:14" ht="12.75" x14ac:dyDescent="0.2">
      <c r="B572" s="41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M572" s="41"/>
      <c r="N572" s="41"/>
    </row>
    <row r="573" spans="2:14" ht="12.75" x14ac:dyDescent="0.2">
      <c r="B573" s="41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M573" s="41"/>
      <c r="N573" s="41"/>
    </row>
    <row r="574" spans="2:14" ht="12.75" x14ac:dyDescent="0.2">
      <c r="B574" s="41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M574" s="41"/>
      <c r="N574" s="41"/>
    </row>
    <row r="575" spans="2:14" ht="12.75" x14ac:dyDescent="0.2">
      <c r="B575" s="41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M575" s="41"/>
      <c r="N575" s="41"/>
    </row>
    <row r="576" spans="2:14" ht="12.75" x14ac:dyDescent="0.2">
      <c r="B576" s="41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M576" s="41"/>
      <c r="N576" s="41"/>
    </row>
    <row r="577" spans="2:14" ht="12.75" x14ac:dyDescent="0.2">
      <c r="B577" s="41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M577" s="41"/>
      <c r="N577" s="41"/>
    </row>
    <row r="578" spans="2:14" ht="12.75" x14ac:dyDescent="0.2">
      <c r="B578" s="41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M578" s="41"/>
      <c r="N578" s="41"/>
    </row>
    <row r="579" spans="2:14" ht="12.75" x14ac:dyDescent="0.2">
      <c r="B579" s="41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M579" s="41"/>
      <c r="N579" s="41"/>
    </row>
    <row r="580" spans="2:14" ht="12.75" x14ac:dyDescent="0.2">
      <c r="B580" s="41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M580" s="41"/>
      <c r="N580" s="41"/>
    </row>
    <row r="581" spans="2:14" ht="12.75" x14ac:dyDescent="0.2">
      <c r="B581" s="41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M581" s="41"/>
      <c r="N581" s="41"/>
    </row>
    <row r="582" spans="2:14" ht="12.75" x14ac:dyDescent="0.2">
      <c r="B582" s="41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M582" s="41"/>
      <c r="N582" s="41"/>
    </row>
    <row r="583" spans="2:14" ht="12.75" x14ac:dyDescent="0.2">
      <c r="B583" s="41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M583" s="41"/>
      <c r="N583" s="41"/>
    </row>
    <row r="584" spans="2:14" ht="12.75" x14ac:dyDescent="0.2">
      <c r="B584" s="41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M584" s="41"/>
      <c r="N584" s="41"/>
    </row>
    <row r="585" spans="2:14" ht="12.75" x14ac:dyDescent="0.2">
      <c r="B585" s="41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M585" s="41"/>
      <c r="N585" s="41"/>
    </row>
    <row r="586" spans="2:14" ht="12.75" x14ac:dyDescent="0.2"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M586" s="41"/>
      <c r="N586" s="41"/>
    </row>
    <row r="587" spans="2:14" ht="12.75" x14ac:dyDescent="0.2">
      <c r="B587" s="41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M587" s="41"/>
      <c r="N587" s="41"/>
    </row>
    <row r="588" spans="2:14" ht="12.75" x14ac:dyDescent="0.2">
      <c r="B588" s="41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M588" s="41"/>
      <c r="N588" s="41"/>
    </row>
    <row r="589" spans="2:14" ht="12.75" x14ac:dyDescent="0.2">
      <c r="B589" s="41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M589" s="41"/>
      <c r="N589" s="41"/>
    </row>
    <row r="590" spans="2:14" ht="12.75" x14ac:dyDescent="0.2">
      <c r="B590" s="41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M590" s="41"/>
      <c r="N590" s="41"/>
    </row>
    <row r="591" spans="2:14" ht="12.75" x14ac:dyDescent="0.2">
      <c r="B591" s="41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M591" s="41"/>
      <c r="N591" s="41"/>
    </row>
    <row r="592" spans="2:14" ht="12.75" x14ac:dyDescent="0.2">
      <c r="B592" s="41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M592" s="41"/>
      <c r="N592" s="41"/>
    </row>
    <row r="593" spans="2:14" ht="12.75" x14ac:dyDescent="0.2">
      <c r="B593" s="41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M593" s="41"/>
      <c r="N593" s="41"/>
    </row>
    <row r="594" spans="2:14" ht="12.75" x14ac:dyDescent="0.2">
      <c r="B594" s="41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M594" s="41"/>
      <c r="N594" s="41"/>
    </row>
    <row r="595" spans="2:14" ht="12.75" x14ac:dyDescent="0.2">
      <c r="B595" s="41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M595" s="41"/>
      <c r="N595" s="41"/>
    </row>
    <row r="596" spans="2:14" ht="12.75" x14ac:dyDescent="0.2">
      <c r="B596" s="41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M596" s="41"/>
      <c r="N596" s="41"/>
    </row>
    <row r="597" spans="2:14" ht="12.75" x14ac:dyDescent="0.2">
      <c r="B597" s="41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M597" s="41"/>
      <c r="N597" s="41"/>
    </row>
    <row r="598" spans="2:14" ht="12.75" x14ac:dyDescent="0.2">
      <c r="B598" s="41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M598" s="41"/>
      <c r="N598" s="41"/>
    </row>
    <row r="599" spans="2:14" ht="12.75" x14ac:dyDescent="0.2">
      <c r="B599" s="41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M599" s="41"/>
      <c r="N599" s="41"/>
    </row>
    <row r="600" spans="2:14" ht="12.75" x14ac:dyDescent="0.2">
      <c r="B600" s="41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M600" s="41"/>
      <c r="N600" s="41"/>
    </row>
    <row r="601" spans="2:14" ht="12.75" x14ac:dyDescent="0.2">
      <c r="B601" s="41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M601" s="41"/>
      <c r="N601" s="41"/>
    </row>
    <row r="602" spans="2:14" ht="12.75" x14ac:dyDescent="0.2">
      <c r="B602" s="41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M602" s="41"/>
      <c r="N602" s="41"/>
    </row>
    <row r="603" spans="2:14" ht="12.75" x14ac:dyDescent="0.2">
      <c r="B603" s="41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</row>
    <row r="604" spans="2:14" ht="12.75" x14ac:dyDescent="0.2"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M604" s="41"/>
      <c r="N604" s="41"/>
    </row>
    <row r="605" spans="2:14" ht="12.75" x14ac:dyDescent="0.2">
      <c r="B605" s="41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M605" s="41"/>
      <c r="N605" s="41"/>
    </row>
    <row r="606" spans="2:14" ht="12.75" x14ac:dyDescent="0.2">
      <c r="B606" s="41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</row>
    <row r="607" spans="2:14" ht="12.75" x14ac:dyDescent="0.2">
      <c r="B607" s="41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M607" s="41"/>
      <c r="N607" s="41"/>
    </row>
    <row r="608" spans="2:14" ht="12.75" x14ac:dyDescent="0.2">
      <c r="B608" s="41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M608" s="41"/>
      <c r="N608" s="41"/>
    </row>
    <row r="609" spans="2:14" ht="12.75" x14ac:dyDescent="0.2">
      <c r="B609" s="41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M609" s="41"/>
      <c r="N609" s="41"/>
    </row>
    <row r="610" spans="2:14" ht="12.75" x14ac:dyDescent="0.2">
      <c r="B610" s="41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M610" s="41"/>
      <c r="N610" s="41"/>
    </row>
    <row r="611" spans="2:14" ht="12.75" x14ac:dyDescent="0.2">
      <c r="B611" s="41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M611" s="41"/>
      <c r="N611" s="41"/>
    </row>
    <row r="612" spans="2:14" ht="12.75" x14ac:dyDescent="0.2">
      <c r="B612" s="41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M612" s="41"/>
      <c r="N612" s="41"/>
    </row>
    <row r="613" spans="2:14" ht="12.75" x14ac:dyDescent="0.2">
      <c r="B613" s="41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M613" s="41"/>
      <c r="N613" s="41"/>
    </row>
    <row r="614" spans="2:14" ht="12.75" x14ac:dyDescent="0.2">
      <c r="B614" s="41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M614" s="41"/>
      <c r="N614" s="41"/>
    </row>
    <row r="615" spans="2:14" ht="12.75" x14ac:dyDescent="0.2">
      <c r="B615" s="41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M615" s="41"/>
      <c r="N615" s="41"/>
    </row>
    <row r="616" spans="2:14" ht="12.75" x14ac:dyDescent="0.2">
      <c r="B616" s="41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M616" s="41"/>
      <c r="N616" s="41"/>
    </row>
    <row r="617" spans="2:14" ht="12.75" x14ac:dyDescent="0.2">
      <c r="B617" s="41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M617" s="41"/>
      <c r="N617" s="41"/>
    </row>
    <row r="618" spans="2:14" ht="12.75" x14ac:dyDescent="0.2">
      <c r="B618" s="41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M618" s="41"/>
      <c r="N618" s="41"/>
    </row>
    <row r="619" spans="2:14" ht="12.75" x14ac:dyDescent="0.2">
      <c r="B619" s="41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M619" s="41"/>
      <c r="N619" s="41"/>
    </row>
    <row r="620" spans="2:14" ht="12.75" x14ac:dyDescent="0.2">
      <c r="B620" s="41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M620" s="41"/>
      <c r="N620" s="41"/>
    </row>
    <row r="621" spans="2:14" ht="12.75" x14ac:dyDescent="0.2">
      <c r="B621" s="41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M621" s="41"/>
      <c r="N621" s="41"/>
    </row>
    <row r="622" spans="2:14" ht="12.75" x14ac:dyDescent="0.2"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M622" s="41"/>
      <c r="N622" s="41"/>
    </row>
    <row r="623" spans="2:14" ht="12.75" x14ac:dyDescent="0.2">
      <c r="B623" s="41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M623" s="41"/>
      <c r="N623" s="41"/>
    </row>
    <row r="624" spans="2:14" ht="12.75" x14ac:dyDescent="0.2">
      <c r="B624" s="41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M624" s="41"/>
      <c r="N624" s="41"/>
    </row>
    <row r="625" spans="2:14" ht="12.75" x14ac:dyDescent="0.2">
      <c r="B625" s="41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M625" s="41"/>
      <c r="N625" s="41"/>
    </row>
    <row r="626" spans="2:14" ht="12.75" x14ac:dyDescent="0.2">
      <c r="B626" s="41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M626" s="41"/>
      <c r="N626" s="41"/>
    </row>
    <row r="627" spans="2:14" ht="12.75" x14ac:dyDescent="0.2">
      <c r="B627" s="41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M627" s="41"/>
      <c r="N627" s="41"/>
    </row>
    <row r="628" spans="2:14" ht="12.75" x14ac:dyDescent="0.2">
      <c r="B628" s="41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M628" s="41"/>
      <c r="N628" s="41"/>
    </row>
    <row r="629" spans="2:14" ht="12.75" x14ac:dyDescent="0.2">
      <c r="B629" s="41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M629" s="41"/>
      <c r="N629" s="41"/>
    </row>
    <row r="630" spans="2:14" ht="12.75" x14ac:dyDescent="0.2">
      <c r="B630" s="41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M630" s="41"/>
      <c r="N630" s="41"/>
    </row>
    <row r="631" spans="2:14" ht="12.75" x14ac:dyDescent="0.2">
      <c r="B631" s="41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M631" s="41"/>
      <c r="N631" s="41"/>
    </row>
    <row r="632" spans="2:14" ht="12.75" x14ac:dyDescent="0.2">
      <c r="B632" s="41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M632" s="41"/>
      <c r="N632" s="41"/>
    </row>
    <row r="633" spans="2:14" ht="12.75" x14ac:dyDescent="0.2">
      <c r="B633" s="41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M633" s="41"/>
      <c r="N633" s="41"/>
    </row>
    <row r="634" spans="2:14" ht="12.75" x14ac:dyDescent="0.2">
      <c r="B634" s="41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M634" s="41"/>
      <c r="N634" s="41"/>
    </row>
    <row r="635" spans="2:14" ht="12.75" x14ac:dyDescent="0.2">
      <c r="B635" s="41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M635" s="41"/>
      <c r="N635" s="41"/>
    </row>
    <row r="636" spans="2:14" ht="12.75" x14ac:dyDescent="0.2">
      <c r="B636" s="41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M636" s="41"/>
      <c r="N636" s="41"/>
    </row>
    <row r="637" spans="2:14" ht="12.75" x14ac:dyDescent="0.2">
      <c r="B637" s="41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M637" s="41"/>
      <c r="N637" s="41"/>
    </row>
    <row r="638" spans="2:14" ht="12.75" x14ac:dyDescent="0.2">
      <c r="B638" s="41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M638" s="41"/>
      <c r="N638" s="41"/>
    </row>
    <row r="639" spans="2:14" ht="12.75" x14ac:dyDescent="0.2">
      <c r="B639" s="41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M639" s="41"/>
      <c r="N639" s="41"/>
    </row>
    <row r="640" spans="2:14" ht="12.75" x14ac:dyDescent="0.2"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M640" s="41"/>
      <c r="N640" s="41"/>
    </row>
    <row r="641" spans="2:14" ht="12.75" x14ac:dyDescent="0.2">
      <c r="B641" s="41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M641" s="41"/>
      <c r="N641" s="41"/>
    </row>
    <row r="642" spans="2:14" ht="12.75" x14ac:dyDescent="0.2">
      <c r="B642" s="41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M642" s="41"/>
      <c r="N642" s="41"/>
    </row>
    <row r="643" spans="2:14" ht="12.75" x14ac:dyDescent="0.2">
      <c r="B643" s="41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M643" s="41"/>
      <c r="N643" s="41"/>
    </row>
    <row r="644" spans="2:14" ht="12.75" x14ac:dyDescent="0.2">
      <c r="B644" s="41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M644" s="41"/>
      <c r="N644" s="41"/>
    </row>
    <row r="645" spans="2:14" ht="12.75" x14ac:dyDescent="0.2">
      <c r="B645" s="41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M645" s="41"/>
      <c r="N645" s="41"/>
    </row>
    <row r="646" spans="2:14" ht="12.75" x14ac:dyDescent="0.2">
      <c r="B646" s="41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M646" s="41"/>
      <c r="N646" s="41"/>
    </row>
    <row r="647" spans="2:14" ht="12.75" x14ac:dyDescent="0.2">
      <c r="B647" s="41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M647" s="41"/>
      <c r="N647" s="41"/>
    </row>
    <row r="648" spans="2:14" ht="12.75" x14ac:dyDescent="0.2">
      <c r="B648" s="41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M648" s="41"/>
      <c r="N648" s="41"/>
    </row>
    <row r="649" spans="2:14" ht="12.75" x14ac:dyDescent="0.2">
      <c r="B649" s="41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M649" s="41"/>
      <c r="N649" s="41"/>
    </row>
    <row r="650" spans="2:14" ht="12.75" x14ac:dyDescent="0.2">
      <c r="B650" s="41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M650" s="41"/>
      <c r="N650" s="41"/>
    </row>
    <row r="651" spans="2:14" ht="12.75" x14ac:dyDescent="0.2">
      <c r="B651" s="41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M651" s="41"/>
      <c r="N651" s="41"/>
    </row>
    <row r="652" spans="2:14" ht="12.75" x14ac:dyDescent="0.2">
      <c r="B652" s="41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M652" s="41"/>
      <c r="N652" s="41"/>
    </row>
    <row r="653" spans="2:14" ht="12.75" x14ac:dyDescent="0.2">
      <c r="B653" s="41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M653" s="41"/>
      <c r="N653" s="41"/>
    </row>
    <row r="654" spans="2:14" ht="12.75" x14ac:dyDescent="0.2">
      <c r="B654" s="41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M654" s="41"/>
      <c r="N654" s="41"/>
    </row>
    <row r="655" spans="2:14" ht="12.75" x14ac:dyDescent="0.2">
      <c r="B655" s="41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M655" s="41"/>
      <c r="N655" s="41"/>
    </row>
    <row r="656" spans="2:14" ht="12.75" x14ac:dyDescent="0.2">
      <c r="B656" s="41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M656" s="41"/>
      <c r="N656" s="41"/>
    </row>
    <row r="657" spans="2:14" ht="12.75" x14ac:dyDescent="0.2">
      <c r="B657" s="41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M657" s="41"/>
      <c r="N657" s="41"/>
    </row>
    <row r="658" spans="2:14" ht="12.75" x14ac:dyDescent="0.2"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M658" s="41"/>
      <c r="N658" s="41"/>
    </row>
    <row r="659" spans="2:14" ht="12.75" x14ac:dyDescent="0.2">
      <c r="B659" s="41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M659" s="41"/>
      <c r="N659" s="41"/>
    </row>
    <row r="660" spans="2:14" ht="12.75" x14ac:dyDescent="0.2">
      <c r="B660" s="41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M660" s="41"/>
      <c r="N660" s="41"/>
    </row>
    <row r="661" spans="2:14" ht="12.75" x14ac:dyDescent="0.2">
      <c r="B661" s="41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M661" s="41"/>
      <c r="N661" s="41"/>
    </row>
    <row r="662" spans="2:14" ht="12.75" x14ac:dyDescent="0.2">
      <c r="B662" s="41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M662" s="41"/>
      <c r="N662" s="41"/>
    </row>
    <row r="663" spans="2:14" ht="12.75" x14ac:dyDescent="0.2">
      <c r="B663" s="41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M663" s="41"/>
      <c r="N663" s="41"/>
    </row>
    <row r="664" spans="2:14" ht="12.75" x14ac:dyDescent="0.2">
      <c r="B664" s="41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M664" s="41"/>
      <c r="N664" s="41"/>
    </row>
    <row r="665" spans="2:14" ht="12.75" x14ac:dyDescent="0.2">
      <c r="B665" s="41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M665" s="41"/>
      <c r="N665" s="41"/>
    </row>
    <row r="666" spans="2:14" ht="12.75" x14ac:dyDescent="0.2">
      <c r="B666" s="41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M666" s="41"/>
      <c r="N666" s="41"/>
    </row>
    <row r="667" spans="2:14" ht="12.75" x14ac:dyDescent="0.2">
      <c r="B667" s="41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M667" s="41"/>
      <c r="N667" s="41"/>
    </row>
    <row r="668" spans="2:14" ht="12.75" x14ac:dyDescent="0.2">
      <c r="B668" s="41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M668" s="41"/>
      <c r="N668" s="41"/>
    </row>
    <row r="669" spans="2:14" ht="12.75" x14ac:dyDescent="0.2">
      <c r="B669" s="41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M669" s="41"/>
      <c r="N669" s="41"/>
    </row>
    <row r="670" spans="2:14" ht="12.75" x14ac:dyDescent="0.2">
      <c r="B670" s="41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M670" s="41"/>
      <c r="N670" s="41"/>
    </row>
    <row r="671" spans="2:14" ht="12.75" x14ac:dyDescent="0.2">
      <c r="B671" s="41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M671" s="41"/>
      <c r="N671" s="41"/>
    </row>
    <row r="672" spans="2:14" ht="12.75" x14ac:dyDescent="0.2">
      <c r="B672" s="41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M672" s="41"/>
      <c r="N672" s="41"/>
    </row>
    <row r="673" spans="2:14" ht="12.75" x14ac:dyDescent="0.2">
      <c r="B673" s="41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M673" s="41"/>
      <c r="N673" s="41"/>
    </row>
    <row r="674" spans="2:14" ht="12.75" x14ac:dyDescent="0.2">
      <c r="B674" s="41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M674" s="41"/>
      <c r="N674" s="41"/>
    </row>
    <row r="675" spans="2:14" ht="12.75" x14ac:dyDescent="0.2">
      <c r="B675" s="41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M675" s="41"/>
      <c r="N675" s="41"/>
    </row>
    <row r="676" spans="2:14" ht="12.75" x14ac:dyDescent="0.2"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M676" s="41"/>
      <c r="N676" s="41"/>
    </row>
    <row r="677" spans="2:14" ht="12.75" x14ac:dyDescent="0.2">
      <c r="B677" s="41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M677" s="41"/>
      <c r="N677" s="41"/>
    </row>
    <row r="678" spans="2:14" ht="12.75" x14ac:dyDescent="0.2">
      <c r="B678" s="41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M678" s="41"/>
      <c r="N678" s="41"/>
    </row>
    <row r="679" spans="2:14" ht="12.75" x14ac:dyDescent="0.2">
      <c r="B679" s="41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M679" s="41"/>
      <c r="N679" s="41"/>
    </row>
    <row r="680" spans="2:14" ht="12.75" x14ac:dyDescent="0.2">
      <c r="B680" s="41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M680" s="41"/>
      <c r="N680" s="41"/>
    </row>
    <row r="681" spans="2:14" ht="12.75" x14ac:dyDescent="0.2">
      <c r="B681" s="41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M681" s="41"/>
      <c r="N681" s="41"/>
    </row>
    <row r="682" spans="2:14" ht="12.75" x14ac:dyDescent="0.2">
      <c r="B682" s="41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M682" s="41"/>
      <c r="N682" s="41"/>
    </row>
    <row r="683" spans="2:14" ht="12.75" x14ac:dyDescent="0.2">
      <c r="B683" s="41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M683" s="41"/>
      <c r="N683" s="41"/>
    </row>
    <row r="684" spans="2:14" ht="12.75" x14ac:dyDescent="0.2">
      <c r="B684" s="41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M684" s="41"/>
      <c r="N684" s="41"/>
    </row>
    <row r="685" spans="2:14" ht="12.75" x14ac:dyDescent="0.2">
      <c r="B685" s="41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M685" s="41"/>
      <c r="N685" s="41"/>
    </row>
    <row r="686" spans="2:14" ht="12.75" x14ac:dyDescent="0.2">
      <c r="B686" s="41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M686" s="41"/>
      <c r="N686" s="41"/>
    </row>
    <row r="687" spans="2:14" ht="12.75" x14ac:dyDescent="0.2">
      <c r="B687" s="41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M687" s="41"/>
      <c r="N687" s="41"/>
    </row>
    <row r="688" spans="2:14" ht="12.75" x14ac:dyDescent="0.2">
      <c r="B688" s="41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M688" s="41"/>
      <c r="N688" s="41"/>
    </row>
    <row r="689" spans="2:14" ht="12.75" x14ac:dyDescent="0.2">
      <c r="B689" s="41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M689" s="41"/>
      <c r="N689" s="41"/>
    </row>
    <row r="690" spans="2:14" ht="12.75" x14ac:dyDescent="0.2">
      <c r="B690" s="41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M690" s="41"/>
      <c r="N690" s="41"/>
    </row>
    <row r="691" spans="2:14" ht="12.75" x14ac:dyDescent="0.2">
      <c r="B691" s="41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M691" s="41"/>
      <c r="N691" s="41"/>
    </row>
    <row r="692" spans="2:14" ht="12.75" x14ac:dyDescent="0.2">
      <c r="B692" s="41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M692" s="41"/>
      <c r="N692" s="41"/>
    </row>
    <row r="693" spans="2:14" ht="12.75" x14ac:dyDescent="0.2">
      <c r="B693" s="41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M693" s="41"/>
      <c r="N693" s="41"/>
    </row>
    <row r="694" spans="2:14" ht="12.75" x14ac:dyDescent="0.2"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M694" s="41"/>
      <c r="N694" s="41"/>
    </row>
    <row r="695" spans="2:14" ht="12.75" x14ac:dyDescent="0.2">
      <c r="B695" s="41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M695" s="41"/>
      <c r="N695" s="41"/>
    </row>
    <row r="696" spans="2:14" ht="12.75" x14ac:dyDescent="0.2">
      <c r="B696" s="41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M696" s="41"/>
      <c r="N696" s="41"/>
    </row>
    <row r="697" spans="2:14" ht="12.75" x14ac:dyDescent="0.2">
      <c r="B697" s="41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M697" s="41"/>
      <c r="N697" s="41"/>
    </row>
    <row r="698" spans="2:14" ht="12.75" x14ac:dyDescent="0.2">
      <c r="B698" s="41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M698" s="41"/>
      <c r="N698" s="41"/>
    </row>
    <row r="699" spans="2:14" ht="12.75" x14ac:dyDescent="0.2">
      <c r="B699" s="41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M699" s="41"/>
      <c r="N699" s="41"/>
    </row>
    <row r="700" spans="2:14" ht="12.75" x14ac:dyDescent="0.2">
      <c r="B700" s="41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M700" s="41"/>
      <c r="N700" s="41"/>
    </row>
    <row r="701" spans="2:14" ht="12.75" x14ac:dyDescent="0.2">
      <c r="B701" s="41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M701" s="41"/>
      <c r="N701" s="41"/>
    </row>
    <row r="702" spans="2:14" ht="12.75" x14ac:dyDescent="0.2">
      <c r="B702" s="41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M702" s="41"/>
      <c r="N702" s="41"/>
    </row>
    <row r="703" spans="2:14" ht="12.75" x14ac:dyDescent="0.2">
      <c r="B703" s="41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M703" s="41"/>
      <c r="N703" s="41"/>
    </row>
    <row r="704" spans="2:14" ht="12.75" x14ac:dyDescent="0.2">
      <c r="B704" s="41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M704" s="41"/>
      <c r="N704" s="41"/>
    </row>
    <row r="705" spans="2:14" ht="12.75" x14ac:dyDescent="0.2">
      <c r="B705" s="41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M705" s="41"/>
      <c r="N705" s="41"/>
    </row>
    <row r="706" spans="2:14" ht="12.75" x14ac:dyDescent="0.2">
      <c r="B706" s="41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M706" s="41"/>
      <c r="N706" s="41"/>
    </row>
    <row r="707" spans="2:14" ht="12.75" x14ac:dyDescent="0.2">
      <c r="B707" s="41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M707" s="41"/>
      <c r="N707" s="41"/>
    </row>
    <row r="708" spans="2:14" ht="12.75" x14ac:dyDescent="0.2">
      <c r="B708" s="41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M708" s="41"/>
      <c r="N708" s="41"/>
    </row>
    <row r="709" spans="2:14" ht="12.75" x14ac:dyDescent="0.2">
      <c r="B709" s="41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M709" s="41"/>
      <c r="N709" s="41"/>
    </row>
    <row r="710" spans="2:14" ht="12.75" x14ac:dyDescent="0.2">
      <c r="B710" s="41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M710" s="41"/>
      <c r="N710" s="41"/>
    </row>
    <row r="711" spans="2:14" ht="12.75" x14ac:dyDescent="0.2">
      <c r="B711" s="41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M711" s="41"/>
      <c r="N711" s="41"/>
    </row>
    <row r="712" spans="2:14" ht="12.75" x14ac:dyDescent="0.2"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M712" s="41"/>
      <c r="N712" s="41"/>
    </row>
    <row r="713" spans="2:14" ht="12.75" x14ac:dyDescent="0.2">
      <c r="B713" s="41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M713" s="41"/>
      <c r="N713" s="41"/>
    </row>
    <row r="714" spans="2:14" ht="12.75" x14ac:dyDescent="0.2">
      <c r="B714" s="41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M714" s="41"/>
      <c r="N714" s="41"/>
    </row>
    <row r="715" spans="2:14" ht="12.75" x14ac:dyDescent="0.2">
      <c r="B715" s="41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M715" s="41"/>
      <c r="N715" s="41"/>
    </row>
    <row r="716" spans="2:14" ht="12.75" x14ac:dyDescent="0.2">
      <c r="B716" s="41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M716" s="41"/>
      <c r="N716" s="41"/>
    </row>
    <row r="717" spans="2:14" ht="12.75" x14ac:dyDescent="0.2">
      <c r="B717" s="41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M717" s="41"/>
      <c r="N717" s="41"/>
    </row>
    <row r="718" spans="2:14" ht="12.75" x14ac:dyDescent="0.2">
      <c r="B718" s="41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M718" s="41"/>
      <c r="N718" s="41"/>
    </row>
    <row r="719" spans="2:14" ht="12.75" x14ac:dyDescent="0.2">
      <c r="B719" s="41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M719" s="41"/>
      <c r="N719" s="41"/>
    </row>
    <row r="720" spans="2:14" ht="12.75" x14ac:dyDescent="0.2">
      <c r="B720" s="41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M720" s="41"/>
      <c r="N720" s="41"/>
    </row>
    <row r="721" spans="2:14" ht="12.75" x14ac:dyDescent="0.2">
      <c r="B721" s="41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M721" s="41"/>
      <c r="N721" s="41"/>
    </row>
    <row r="722" spans="2:14" ht="12.75" x14ac:dyDescent="0.2">
      <c r="B722" s="41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M722" s="41"/>
      <c r="N722" s="41"/>
    </row>
    <row r="723" spans="2:14" ht="12.75" x14ac:dyDescent="0.2">
      <c r="B723" s="41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M723" s="41"/>
      <c r="N723" s="41"/>
    </row>
    <row r="724" spans="2:14" ht="12.75" x14ac:dyDescent="0.2">
      <c r="B724" s="41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M724" s="41"/>
      <c r="N724" s="41"/>
    </row>
    <row r="725" spans="2:14" ht="12.75" x14ac:dyDescent="0.2">
      <c r="B725" s="41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M725" s="41"/>
      <c r="N725" s="41"/>
    </row>
    <row r="726" spans="2:14" ht="12.75" x14ac:dyDescent="0.2">
      <c r="B726" s="41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M726" s="41"/>
      <c r="N726" s="41"/>
    </row>
    <row r="727" spans="2:14" ht="12.75" x14ac:dyDescent="0.2">
      <c r="B727" s="41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M727" s="41"/>
      <c r="N727" s="41"/>
    </row>
    <row r="728" spans="2:14" ht="12.75" x14ac:dyDescent="0.2">
      <c r="B728" s="41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M728" s="41"/>
      <c r="N728" s="41"/>
    </row>
    <row r="729" spans="2:14" ht="12.75" x14ac:dyDescent="0.2">
      <c r="B729" s="41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M729" s="41"/>
      <c r="N729" s="41"/>
    </row>
    <row r="730" spans="2:14" ht="12.75" x14ac:dyDescent="0.2"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M730" s="41"/>
      <c r="N730" s="41"/>
    </row>
    <row r="731" spans="2:14" ht="12.75" x14ac:dyDescent="0.2">
      <c r="B731" s="41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M731" s="41"/>
      <c r="N731" s="41"/>
    </row>
    <row r="732" spans="2:14" ht="12.75" x14ac:dyDescent="0.2">
      <c r="B732" s="41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M732" s="41"/>
      <c r="N732" s="41"/>
    </row>
    <row r="733" spans="2:14" ht="12.75" x14ac:dyDescent="0.2">
      <c r="B733" s="41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M733" s="41"/>
      <c r="N733" s="41"/>
    </row>
    <row r="734" spans="2:14" ht="12.75" x14ac:dyDescent="0.2">
      <c r="B734" s="41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M734" s="41"/>
      <c r="N734" s="41"/>
    </row>
    <row r="735" spans="2:14" ht="12.75" x14ac:dyDescent="0.2">
      <c r="B735" s="41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M735" s="41"/>
      <c r="N735" s="41"/>
    </row>
    <row r="736" spans="2:14" ht="12.75" x14ac:dyDescent="0.2">
      <c r="B736" s="41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M736" s="41"/>
      <c r="N736" s="41"/>
    </row>
    <row r="737" spans="2:14" ht="12.75" x14ac:dyDescent="0.2">
      <c r="B737" s="41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M737" s="41"/>
      <c r="N737" s="41"/>
    </row>
    <row r="738" spans="2:14" ht="12.75" x14ac:dyDescent="0.2">
      <c r="B738" s="41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M738" s="41"/>
      <c r="N738" s="41"/>
    </row>
    <row r="739" spans="2:14" ht="12.75" x14ac:dyDescent="0.2">
      <c r="B739" s="41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M739" s="41"/>
      <c r="N739" s="41"/>
    </row>
    <row r="740" spans="2:14" ht="12.75" x14ac:dyDescent="0.2">
      <c r="B740" s="41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M740" s="41"/>
      <c r="N740" s="41"/>
    </row>
    <row r="741" spans="2:14" ht="12.75" x14ac:dyDescent="0.2">
      <c r="B741" s="41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M741" s="41"/>
      <c r="N741" s="41"/>
    </row>
    <row r="742" spans="2:14" ht="12.75" x14ac:dyDescent="0.2">
      <c r="B742" s="41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M742" s="41"/>
      <c r="N742" s="41"/>
    </row>
    <row r="743" spans="2:14" ht="12.75" x14ac:dyDescent="0.2">
      <c r="B743" s="41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M743" s="41"/>
      <c r="N743" s="41"/>
    </row>
    <row r="744" spans="2:14" ht="12.75" x14ac:dyDescent="0.2">
      <c r="B744" s="41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M744" s="41"/>
      <c r="N744" s="41"/>
    </row>
    <row r="745" spans="2:14" ht="12.75" x14ac:dyDescent="0.2">
      <c r="B745" s="41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M745" s="41"/>
      <c r="N745" s="41"/>
    </row>
    <row r="746" spans="2:14" ht="12.75" x14ac:dyDescent="0.2">
      <c r="B746" s="41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M746" s="41"/>
      <c r="N746" s="41"/>
    </row>
    <row r="747" spans="2:14" ht="12.75" x14ac:dyDescent="0.2">
      <c r="B747" s="41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M747" s="41"/>
      <c r="N747" s="41"/>
    </row>
    <row r="748" spans="2:14" ht="12.75" x14ac:dyDescent="0.2"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M748" s="41"/>
      <c r="N748" s="41"/>
    </row>
    <row r="749" spans="2:14" ht="12.75" x14ac:dyDescent="0.2">
      <c r="B749" s="41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M749" s="41"/>
      <c r="N749" s="41"/>
    </row>
    <row r="750" spans="2:14" ht="12.75" x14ac:dyDescent="0.2">
      <c r="B750" s="41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M750" s="41"/>
      <c r="N750" s="41"/>
    </row>
    <row r="751" spans="2:14" ht="12.75" x14ac:dyDescent="0.2">
      <c r="B751" s="41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M751" s="41"/>
      <c r="N751" s="41"/>
    </row>
    <row r="752" spans="2:14" ht="12.75" x14ac:dyDescent="0.2">
      <c r="B752" s="41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M752" s="41"/>
      <c r="N752" s="41"/>
    </row>
    <row r="753" spans="2:14" ht="12.75" x14ac:dyDescent="0.2">
      <c r="B753" s="41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M753" s="41"/>
      <c r="N753" s="41"/>
    </row>
    <row r="754" spans="2:14" ht="12.75" x14ac:dyDescent="0.2">
      <c r="B754" s="41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M754" s="41"/>
      <c r="N754" s="41"/>
    </row>
    <row r="755" spans="2:14" ht="12.75" x14ac:dyDescent="0.2">
      <c r="B755" s="41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M755" s="41"/>
      <c r="N755" s="41"/>
    </row>
    <row r="756" spans="2:14" ht="12.75" x14ac:dyDescent="0.2">
      <c r="B756" s="41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M756" s="41"/>
      <c r="N756" s="41"/>
    </row>
    <row r="757" spans="2:14" ht="12.75" x14ac:dyDescent="0.2">
      <c r="B757" s="41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M757" s="41"/>
      <c r="N757" s="41"/>
    </row>
    <row r="758" spans="2:14" ht="12.75" x14ac:dyDescent="0.2">
      <c r="B758" s="41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M758" s="41"/>
      <c r="N758" s="41"/>
    </row>
    <row r="759" spans="2:14" ht="12.75" x14ac:dyDescent="0.2">
      <c r="B759" s="41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M759" s="41"/>
      <c r="N759" s="41"/>
    </row>
    <row r="760" spans="2:14" ht="12.75" x14ac:dyDescent="0.2">
      <c r="B760" s="41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M760" s="41"/>
      <c r="N760" s="41"/>
    </row>
    <row r="761" spans="2:14" ht="12.75" x14ac:dyDescent="0.2">
      <c r="B761" s="41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M761" s="41"/>
      <c r="N761" s="41"/>
    </row>
    <row r="762" spans="2:14" ht="12.75" x14ac:dyDescent="0.2">
      <c r="B762" s="41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M762" s="41"/>
      <c r="N762" s="41"/>
    </row>
    <row r="763" spans="2:14" ht="12.75" x14ac:dyDescent="0.2">
      <c r="B763" s="41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M763" s="41"/>
      <c r="N763" s="41"/>
    </row>
    <row r="764" spans="2:14" ht="12.75" x14ac:dyDescent="0.2">
      <c r="B764" s="41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M764" s="41"/>
      <c r="N764" s="41"/>
    </row>
    <row r="765" spans="2:14" ht="12.75" x14ac:dyDescent="0.2">
      <c r="B765" s="41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M765" s="41"/>
      <c r="N765" s="41"/>
    </row>
    <row r="766" spans="2:14" ht="12.75" x14ac:dyDescent="0.2">
      <c r="B766" s="41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M766" s="41"/>
      <c r="N766" s="41"/>
    </row>
    <row r="767" spans="2:14" ht="12.75" x14ac:dyDescent="0.2">
      <c r="B767" s="41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M767" s="41"/>
      <c r="N767" s="41"/>
    </row>
    <row r="768" spans="2:14" ht="12.75" x14ac:dyDescent="0.2">
      <c r="B768" s="41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M768" s="41"/>
      <c r="N768" s="41"/>
    </row>
    <row r="769" spans="2:14" ht="12.75" x14ac:dyDescent="0.2">
      <c r="B769" s="41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M769" s="41"/>
      <c r="N769" s="41"/>
    </row>
    <row r="770" spans="2:14" ht="12.75" x14ac:dyDescent="0.2">
      <c r="B770" s="41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M770" s="41"/>
      <c r="N770" s="41"/>
    </row>
    <row r="771" spans="2:14" ht="12.75" x14ac:dyDescent="0.2">
      <c r="B771" s="41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M771" s="41"/>
      <c r="N771" s="41"/>
    </row>
    <row r="772" spans="2:14" ht="12.75" x14ac:dyDescent="0.2">
      <c r="B772" s="41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M772" s="41"/>
      <c r="N772" s="41"/>
    </row>
    <row r="773" spans="2:14" ht="12.75" x14ac:dyDescent="0.2">
      <c r="B773" s="41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M773" s="41"/>
      <c r="N773" s="41"/>
    </row>
    <row r="774" spans="2:14" ht="12.75" x14ac:dyDescent="0.2">
      <c r="B774" s="41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M774" s="41"/>
      <c r="N774" s="41"/>
    </row>
    <row r="775" spans="2:14" ht="12.75" x14ac:dyDescent="0.2">
      <c r="B775" s="41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M775" s="41"/>
      <c r="N775" s="41"/>
    </row>
    <row r="776" spans="2:14" ht="12.75" x14ac:dyDescent="0.2">
      <c r="B776" s="41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M776" s="41"/>
      <c r="N776" s="41"/>
    </row>
    <row r="777" spans="2:14" ht="12.75" x14ac:dyDescent="0.2">
      <c r="B777" s="41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M777" s="41"/>
      <c r="N777" s="41"/>
    </row>
    <row r="778" spans="2:14" ht="12.75" x14ac:dyDescent="0.2">
      <c r="B778" s="41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M778" s="41"/>
      <c r="N778" s="41"/>
    </row>
    <row r="779" spans="2:14" ht="12.75" x14ac:dyDescent="0.2">
      <c r="B779" s="41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M779" s="41"/>
      <c r="N779" s="41"/>
    </row>
    <row r="780" spans="2:14" ht="12.75" x14ac:dyDescent="0.2">
      <c r="B780" s="41"/>
      <c r="C780" s="41"/>
      <c r="D780" s="41"/>
      <c r="E780" s="41"/>
      <c r="F780" s="41"/>
      <c r="G780" s="41"/>
      <c r="H780" s="41"/>
      <c r="I780" s="41"/>
      <c r="J780" s="41"/>
      <c r="K780" s="41"/>
      <c r="L780" s="41"/>
      <c r="M780" s="41"/>
      <c r="N780" s="41"/>
    </row>
    <row r="781" spans="2:14" ht="12.75" x14ac:dyDescent="0.2">
      <c r="B781" s="41"/>
      <c r="C781" s="41"/>
      <c r="D781" s="41"/>
      <c r="E781" s="41"/>
      <c r="F781" s="41"/>
      <c r="G781" s="41"/>
      <c r="H781" s="41"/>
      <c r="I781" s="41"/>
      <c r="J781" s="41"/>
      <c r="K781" s="41"/>
      <c r="L781" s="41"/>
      <c r="M781" s="41"/>
      <c r="N781" s="41"/>
    </row>
    <row r="782" spans="2:14" ht="12.75" x14ac:dyDescent="0.2">
      <c r="B782" s="41"/>
      <c r="C782" s="41"/>
      <c r="D782" s="41"/>
      <c r="E782" s="41"/>
      <c r="F782" s="41"/>
      <c r="G782" s="41"/>
      <c r="H782" s="41"/>
      <c r="I782" s="41"/>
      <c r="J782" s="41"/>
      <c r="K782" s="41"/>
      <c r="L782" s="41"/>
      <c r="M782" s="41"/>
      <c r="N782" s="41"/>
    </row>
    <row r="783" spans="2:14" ht="12.75" x14ac:dyDescent="0.2">
      <c r="B783" s="41"/>
      <c r="C783" s="41"/>
      <c r="D783" s="41"/>
      <c r="E783" s="41"/>
      <c r="F783" s="41"/>
      <c r="G783" s="41"/>
      <c r="H783" s="41"/>
      <c r="I783" s="41"/>
      <c r="J783" s="41"/>
      <c r="K783" s="41"/>
      <c r="L783" s="41"/>
      <c r="M783" s="41"/>
      <c r="N783" s="41"/>
    </row>
    <row r="784" spans="2:14" ht="12.75" x14ac:dyDescent="0.2">
      <c r="B784" s="41"/>
      <c r="C784" s="41"/>
      <c r="D784" s="41"/>
      <c r="E784" s="41"/>
      <c r="F784" s="41"/>
      <c r="G784" s="41"/>
      <c r="H784" s="41"/>
      <c r="I784" s="41"/>
      <c r="J784" s="41"/>
      <c r="K784" s="41"/>
      <c r="L784" s="41"/>
      <c r="M784" s="41"/>
      <c r="N784" s="41"/>
    </row>
    <row r="785" spans="2:14" ht="12.75" x14ac:dyDescent="0.2">
      <c r="B785" s="41"/>
      <c r="C785" s="41"/>
      <c r="D785" s="41"/>
      <c r="E785" s="41"/>
      <c r="F785" s="41"/>
      <c r="G785" s="41"/>
      <c r="H785" s="41"/>
      <c r="I785" s="41"/>
      <c r="J785" s="41"/>
      <c r="K785" s="41"/>
      <c r="L785" s="41"/>
      <c r="M785" s="41"/>
      <c r="N785" s="41"/>
    </row>
    <row r="786" spans="2:14" ht="12.75" x14ac:dyDescent="0.2">
      <c r="B786" s="41"/>
      <c r="C786" s="41"/>
      <c r="D786" s="41"/>
      <c r="E786" s="41"/>
      <c r="F786" s="41"/>
      <c r="G786" s="41"/>
      <c r="H786" s="41"/>
      <c r="I786" s="41"/>
      <c r="J786" s="41"/>
      <c r="K786" s="41"/>
      <c r="L786" s="41"/>
      <c r="M786" s="41"/>
      <c r="N786" s="41"/>
    </row>
    <row r="787" spans="2:14" ht="12.75" x14ac:dyDescent="0.2">
      <c r="B787" s="41"/>
      <c r="C787" s="41"/>
      <c r="D787" s="41"/>
      <c r="E787" s="41"/>
      <c r="F787" s="41"/>
      <c r="G787" s="41"/>
      <c r="H787" s="41"/>
      <c r="I787" s="41"/>
      <c r="J787" s="41"/>
      <c r="K787" s="41"/>
      <c r="L787" s="41"/>
      <c r="M787" s="41"/>
      <c r="N787" s="41"/>
    </row>
    <row r="788" spans="2:14" ht="12.75" x14ac:dyDescent="0.2">
      <c r="B788" s="41"/>
      <c r="C788" s="41"/>
      <c r="D788" s="41"/>
      <c r="E788" s="41"/>
      <c r="F788" s="41"/>
      <c r="G788" s="41"/>
      <c r="H788" s="41"/>
      <c r="I788" s="41"/>
      <c r="J788" s="41"/>
      <c r="K788" s="41"/>
      <c r="L788" s="41"/>
      <c r="M788" s="41"/>
      <c r="N788" s="41"/>
    </row>
    <row r="789" spans="2:14" ht="12.75" x14ac:dyDescent="0.2">
      <c r="B789" s="41"/>
      <c r="C789" s="41"/>
      <c r="D789" s="41"/>
      <c r="E789" s="41"/>
      <c r="F789" s="41"/>
      <c r="G789" s="41"/>
      <c r="H789" s="41"/>
      <c r="I789" s="41"/>
      <c r="J789" s="41"/>
      <c r="K789" s="41"/>
      <c r="L789" s="41"/>
      <c r="M789" s="41"/>
      <c r="N789" s="41"/>
    </row>
    <row r="790" spans="2:14" ht="12.75" x14ac:dyDescent="0.2">
      <c r="B790" s="41"/>
      <c r="C790" s="41"/>
      <c r="D790" s="41"/>
      <c r="E790" s="41"/>
      <c r="F790" s="41"/>
      <c r="G790" s="41"/>
      <c r="H790" s="41"/>
      <c r="I790" s="41"/>
      <c r="J790" s="41"/>
      <c r="K790" s="41"/>
      <c r="L790" s="41"/>
      <c r="M790" s="41"/>
      <c r="N790" s="41"/>
    </row>
    <row r="791" spans="2:14" ht="12.75" x14ac:dyDescent="0.2">
      <c r="B791" s="41"/>
      <c r="C791" s="41"/>
      <c r="D791" s="41"/>
      <c r="E791" s="41"/>
      <c r="F791" s="41"/>
      <c r="G791" s="41"/>
      <c r="H791" s="41"/>
      <c r="I791" s="41"/>
      <c r="J791" s="41"/>
      <c r="K791" s="41"/>
      <c r="L791" s="41"/>
      <c r="M791" s="41"/>
      <c r="N791" s="41"/>
    </row>
    <row r="792" spans="2:14" ht="12.75" x14ac:dyDescent="0.2">
      <c r="B792" s="41"/>
      <c r="C792" s="41"/>
      <c r="D792" s="41"/>
      <c r="E792" s="41"/>
      <c r="F792" s="41"/>
      <c r="G792" s="41"/>
      <c r="H792" s="41"/>
      <c r="I792" s="41"/>
      <c r="J792" s="41"/>
      <c r="K792" s="41"/>
      <c r="L792" s="41"/>
      <c r="M792" s="41"/>
      <c r="N792" s="41"/>
    </row>
    <row r="793" spans="2:14" ht="12.75" x14ac:dyDescent="0.2">
      <c r="B793" s="41"/>
      <c r="C793" s="41"/>
      <c r="D793" s="41"/>
      <c r="E793" s="41"/>
      <c r="F793" s="41"/>
      <c r="G793" s="41"/>
      <c r="H793" s="41"/>
      <c r="I793" s="41"/>
      <c r="J793" s="41"/>
      <c r="K793" s="41"/>
      <c r="L793" s="41"/>
      <c r="M793" s="41"/>
      <c r="N793" s="41"/>
    </row>
    <row r="794" spans="2:14" ht="12.75" x14ac:dyDescent="0.2">
      <c r="B794" s="41"/>
      <c r="C794" s="41"/>
      <c r="D794" s="41"/>
      <c r="E794" s="41"/>
      <c r="F794" s="41"/>
      <c r="G794" s="41"/>
      <c r="H794" s="41"/>
      <c r="I794" s="41"/>
      <c r="J794" s="41"/>
      <c r="K794" s="41"/>
      <c r="L794" s="41"/>
      <c r="M794" s="41"/>
      <c r="N794" s="41"/>
    </row>
    <row r="795" spans="2:14" ht="12.75" x14ac:dyDescent="0.2">
      <c r="B795" s="41"/>
      <c r="C795" s="41"/>
      <c r="D795" s="41"/>
      <c r="E795" s="41"/>
      <c r="F795" s="41"/>
      <c r="G795" s="41"/>
      <c r="H795" s="41"/>
      <c r="I795" s="41"/>
      <c r="J795" s="41"/>
      <c r="K795" s="41"/>
      <c r="L795" s="41"/>
      <c r="M795" s="41"/>
      <c r="N795" s="41"/>
    </row>
    <row r="796" spans="2:14" ht="12.75" x14ac:dyDescent="0.2">
      <c r="B796" s="41"/>
      <c r="C796" s="41"/>
      <c r="D796" s="41"/>
      <c r="E796" s="41"/>
      <c r="F796" s="41"/>
      <c r="G796" s="41"/>
      <c r="H796" s="41"/>
      <c r="I796" s="41"/>
      <c r="J796" s="41"/>
      <c r="K796" s="41"/>
      <c r="L796" s="41"/>
      <c r="M796" s="41"/>
      <c r="N796" s="41"/>
    </row>
    <row r="797" spans="2:14" ht="12.75" x14ac:dyDescent="0.2">
      <c r="B797" s="41"/>
      <c r="C797" s="41"/>
      <c r="D797" s="41"/>
      <c r="E797" s="41"/>
      <c r="F797" s="41"/>
      <c r="G797" s="41"/>
      <c r="H797" s="41"/>
      <c r="I797" s="41"/>
      <c r="J797" s="41"/>
      <c r="K797" s="41"/>
      <c r="L797" s="41"/>
      <c r="M797" s="41"/>
      <c r="N797" s="41"/>
    </row>
    <row r="798" spans="2:14" ht="12.75" x14ac:dyDescent="0.2">
      <c r="B798" s="41"/>
      <c r="C798" s="41"/>
      <c r="D798" s="41"/>
      <c r="E798" s="41"/>
      <c r="F798" s="41"/>
      <c r="G798" s="41"/>
      <c r="H798" s="41"/>
      <c r="I798" s="41"/>
      <c r="J798" s="41"/>
      <c r="K798" s="41"/>
      <c r="L798" s="41"/>
      <c r="M798" s="41"/>
      <c r="N798" s="41"/>
    </row>
    <row r="799" spans="2:14" ht="12.75" x14ac:dyDescent="0.2">
      <c r="B799" s="41"/>
      <c r="C799" s="41"/>
      <c r="D799" s="41"/>
      <c r="E799" s="41"/>
      <c r="F799" s="41"/>
      <c r="G799" s="41"/>
      <c r="H799" s="41"/>
      <c r="I799" s="41"/>
      <c r="J799" s="41"/>
      <c r="K799" s="41"/>
      <c r="L799" s="41"/>
      <c r="M799" s="41"/>
      <c r="N799" s="41"/>
    </row>
    <row r="800" spans="2:14" ht="12.75" x14ac:dyDescent="0.2">
      <c r="B800" s="41"/>
      <c r="C800" s="41"/>
      <c r="D800" s="41"/>
      <c r="E800" s="41"/>
      <c r="F800" s="41"/>
      <c r="G800" s="41"/>
      <c r="H800" s="41"/>
      <c r="I800" s="41"/>
      <c r="J800" s="41"/>
      <c r="K800" s="41"/>
      <c r="L800" s="41"/>
      <c r="M800" s="41"/>
      <c r="N800" s="41"/>
    </row>
    <row r="801" spans="2:14" ht="12.75" x14ac:dyDescent="0.2"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</row>
    <row r="802" spans="2:14" ht="12.75" x14ac:dyDescent="0.2"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</row>
    <row r="803" spans="2:14" ht="12.75" x14ac:dyDescent="0.2"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</row>
    <row r="804" spans="2:14" ht="12.75" x14ac:dyDescent="0.2"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</row>
    <row r="805" spans="2:14" ht="12.75" x14ac:dyDescent="0.2"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</row>
    <row r="806" spans="2:14" ht="12.75" x14ac:dyDescent="0.2"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</row>
    <row r="807" spans="2:14" ht="12.75" x14ac:dyDescent="0.2"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</row>
    <row r="808" spans="2:14" ht="12.75" x14ac:dyDescent="0.2"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</row>
    <row r="809" spans="2:14" ht="12.75" x14ac:dyDescent="0.2"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</row>
    <row r="810" spans="2:14" ht="12.75" x14ac:dyDescent="0.2"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</row>
    <row r="811" spans="2:14" ht="12.75" x14ac:dyDescent="0.2"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</row>
    <row r="812" spans="2:14" ht="12.75" x14ac:dyDescent="0.2"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</row>
    <row r="813" spans="2:14" ht="12.75" x14ac:dyDescent="0.2"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</row>
    <row r="814" spans="2:14" ht="12.75" x14ac:dyDescent="0.2"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</row>
    <row r="815" spans="2:14" ht="12.75" x14ac:dyDescent="0.2"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</row>
    <row r="816" spans="2:14" ht="12.75" x14ac:dyDescent="0.2"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</row>
    <row r="817" spans="2:14" ht="12.75" x14ac:dyDescent="0.2"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</row>
    <row r="818" spans="2:14" ht="12.75" x14ac:dyDescent="0.2"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</row>
    <row r="819" spans="2:14" ht="12.75" x14ac:dyDescent="0.2"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</row>
    <row r="820" spans="2:14" ht="12.75" x14ac:dyDescent="0.2"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</row>
    <row r="821" spans="2:14" ht="12.75" x14ac:dyDescent="0.2"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</row>
    <row r="822" spans="2:14" ht="12.75" x14ac:dyDescent="0.2"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</row>
    <row r="823" spans="2:14" ht="12.75" x14ac:dyDescent="0.2"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</row>
    <row r="824" spans="2:14" ht="12.75" x14ac:dyDescent="0.2"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</row>
    <row r="825" spans="2:14" ht="12.75" x14ac:dyDescent="0.2"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</row>
    <row r="826" spans="2:14" ht="12.75" x14ac:dyDescent="0.2"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</row>
    <row r="827" spans="2:14" ht="12.75" x14ac:dyDescent="0.2"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</row>
    <row r="828" spans="2:14" ht="12.75" x14ac:dyDescent="0.2"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</row>
    <row r="829" spans="2:14" ht="12.75" x14ac:dyDescent="0.2"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</row>
    <row r="830" spans="2:14" ht="12.75" x14ac:dyDescent="0.2"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</row>
    <row r="831" spans="2:14" ht="12.75" x14ac:dyDescent="0.2"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</row>
    <row r="832" spans="2:14" ht="12.75" x14ac:dyDescent="0.2"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</row>
    <row r="833" spans="2:14" ht="12.75" x14ac:dyDescent="0.2"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</row>
    <row r="834" spans="2:14" ht="12.75" x14ac:dyDescent="0.2"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</row>
    <row r="835" spans="2:14" ht="12.75" x14ac:dyDescent="0.2"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</row>
    <row r="836" spans="2:14" ht="12.75" x14ac:dyDescent="0.2"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</row>
    <row r="837" spans="2:14" ht="12.75" x14ac:dyDescent="0.2"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</row>
    <row r="838" spans="2:14" ht="12.75" x14ac:dyDescent="0.2"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</row>
    <row r="839" spans="2:14" ht="12.75" x14ac:dyDescent="0.2">
      <c r="B839" s="41"/>
      <c r="C839" s="41"/>
      <c r="D839" s="41"/>
      <c r="E839" s="41"/>
      <c r="F839" s="41"/>
      <c r="G839" s="41"/>
      <c r="H839" s="41"/>
      <c r="I839" s="41"/>
      <c r="J839" s="41"/>
      <c r="K839" s="41"/>
      <c r="L839" s="41"/>
      <c r="M839" s="41"/>
      <c r="N839" s="41"/>
    </row>
    <row r="840" spans="2:14" ht="12.75" x14ac:dyDescent="0.2">
      <c r="B840" s="41"/>
      <c r="C840" s="41"/>
      <c r="D840" s="41"/>
      <c r="E840" s="41"/>
      <c r="F840" s="41"/>
      <c r="G840" s="41"/>
      <c r="H840" s="41"/>
      <c r="I840" s="41"/>
      <c r="J840" s="41"/>
      <c r="K840" s="41"/>
      <c r="L840" s="41"/>
      <c r="M840" s="41"/>
      <c r="N840" s="41"/>
    </row>
    <row r="841" spans="2:14" ht="12.75" x14ac:dyDescent="0.2">
      <c r="B841" s="41"/>
      <c r="C841" s="41"/>
      <c r="D841" s="41"/>
      <c r="E841" s="41"/>
      <c r="F841" s="41"/>
      <c r="G841" s="41"/>
      <c r="H841" s="41"/>
      <c r="I841" s="41"/>
      <c r="J841" s="41"/>
      <c r="K841" s="41"/>
      <c r="L841" s="41"/>
      <c r="M841" s="41"/>
      <c r="N841" s="41"/>
    </row>
    <row r="842" spans="2:14" ht="12.75" x14ac:dyDescent="0.2">
      <c r="B842" s="41"/>
      <c r="C842" s="41"/>
      <c r="D842" s="41"/>
      <c r="E842" s="41"/>
      <c r="F842" s="41"/>
      <c r="G842" s="41"/>
      <c r="H842" s="41"/>
      <c r="I842" s="41"/>
      <c r="J842" s="41"/>
      <c r="K842" s="41"/>
      <c r="L842" s="41"/>
      <c r="M842" s="41"/>
      <c r="N842" s="41"/>
    </row>
    <row r="843" spans="2:14" ht="12.75" x14ac:dyDescent="0.2">
      <c r="B843" s="41"/>
      <c r="C843" s="41"/>
      <c r="D843" s="41"/>
      <c r="E843" s="41"/>
      <c r="F843" s="41"/>
      <c r="G843" s="41"/>
      <c r="H843" s="41"/>
      <c r="I843" s="41"/>
      <c r="J843" s="41"/>
      <c r="K843" s="41"/>
      <c r="L843" s="41"/>
      <c r="M843" s="41"/>
      <c r="N843" s="41"/>
    </row>
    <row r="844" spans="2:14" ht="12.75" x14ac:dyDescent="0.2">
      <c r="B844" s="41"/>
      <c r="C844" s="41"/>
      <c r="D844" s="41"/>
      <c r="E844" s="41"/>
      <c r="F844" s="41"/>
      <c r="G844" s="41"/>
      <c r="H844" s="41"/>
      <c r="I844" s="41"/>
      <c r="J844" s="41"/>
      <c r="K844" s="41"/>
      <c r="L844" s="41"/>
      <c r="M844" s="41"/>
      <c r="N844" s="41"/>
    </row>
    <row r="845" spans="2:14" ht="12.75" x14ac:dyDescent="0.2">
      <c r="B845" s="41"/>
      <c r="C845" s="41"/>
      <c r="D845" s="41"/>
      <c r="E845" s="41"/>
      <c r="F845" s="41"/>
      <c r="G845" s="41"/>
      <c r="H845" s="41"/>
      <c r="I845" s="41"/>
      <c r="J845" s="41"/>
      <c r="K845" s="41"/>
      <c r="L845" s="41"/>
      <c r="M845" s="41"/>
      <c r="N845" s="41"/>
    </row>
    <row r="846" spans="2:14" ht="12.75" x14ac:dyDescent="0.2">
      <c r="B846" s="41"/>
      <c r="C846" s="41"/>
      <c r="D846" s="41"/>
      <c r="E846" s="41"/>
      <c r="F846" s="41"/>
      <c r="G846" s="41"/>
      <c r="H846" s="41"/>
      <c r="I846" s="41"/>
      <c r="J846" s="41"/>
      <c r="K846" s="41"/>
      <c r="L846" s="41"/>
      <c r="M846" s="41"/>
      <c r="N846" s="41"/>
    </row>
    <row r="847" spans="2:14" ht="12.75" x14ac:dyDescent="0.2">
      <c r="B847" s="41"/>
      <c r="C847" s="41"/>
      <c r="D847" s="41"/>
      <c r="E847" s="41"/>
      <c r="F847" s="41"/>
      <c r="G847" s="41"/>
      <c r="H847" s="41"/>
      <c r="I847" s="41"/>
      <c r="J847" s="41"/>
      <c r="K847" s="41"/>
      <c r="L847" s="41"/>
      <c r="M847" s="41"/>
      <c r="N847" s="41"/>
    </row>
    <row r="848" spans="2:14" ht="12.75" x14ac:dyDescent="0.2">
      <c r="B848" s="41"/>
      <c r="C848" s="41"/>
      <c r="D848" s="41"/>
      <c r="E848" s="41"/>
      <c r="F848" s="41"/>
      <c r="G848" s="41"/>
      <c r="H848" s="41"/>
      <c r="I848" s="41"/>
      <c r="J848" s="41"/>
      <c r="K848" s="41"/>
      <c r="L848" s="41"/>
      <c r="M848" s="41"/>
      <c r="N848" s="41"/>
    </row>
    <row r="849" spans="2:14" ht="12.75" x14ac:dyDescent="0.2">
      <c r="B849" s="41"/>
      <c r="C849" s="41"/>
      <c r="D849" s="41"/>
      <c r="E849" s="41"/>
      <c r="F849" s="41"/>
      <c r="G849" s="41"/>
      <c r="H849" s="41"/>
      <c r="I849" s="41"/>
      <c r="J849" s="41"/>
      <c r="K849" s="41"/>
      <c r="L849" s="41"/>
      <c r="M849" s="41"/>
      <c r="N849" s="41"/>
    </row>
    <row r="850" spans="2:14" ht="12.75" x14ac:dyDescent="0.2">
      <c r="B850" s="41"/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</row>
    <row r="851" spans="2:14" ht="12.75" x14ac:dyDescent="0.2">
      <c r="B851" s="41"/>
      <c r="C851" s="41"/>
      <c r="D851" s="41"/>
      <c r="E851" s="41"/>
      <c r="F851" s="41"/>
      <c r="G851" s="41"/>
      <c r="H851" s="41"/>
      <c r="I851" s="41"/>
      <c r="J851" s="41"/>
      <c r="K851" s="41"/>
      <c r="L851" s="41"/>
      <c r="M851" s="41"/>
      <c r="N851" s="41"/>
    </row>
    <row r="852" spans="2:14" ht="12.75" x14ac:dyDescent="0.2">
      <c r="B852" s="41"/>
      <c r="C852" s="41"/>
      <c r="D852" s="41"/>
      <c r="E852" s="41"/>
      <c r="F852" s="41"/>
      <c r="G852" s="41"/>
      <c r="H852" s="41"/>
      <c r="I852" s="41"/>
      <c r="J852" s="41"/>
      <c r="K852" s="41"/>
      <c r="L852" s="41"/>
      <c r="M852" s="41"/>
      <c r="N852" s="41"/>
    </row>
    <row r="853" spans="2:14" ht="12.75" x14ac:dyDescent="0.2">
      <c r="B853" s="41"/>
      <c r="C853" s="41"/>
      <c r="D853" s="41"/>
      <c r="E853" s="41"/>
      <c r="F853" s="41"/>
      <c r="G853" s="41"/>
      <c r="H853" s="41"/>
      <c r="I853" s="41"/>
      <c r="J853" s="41"/>
      <c r="K853" s="41"/>
      <c r="L853" s="41"/>
      <c r="M853" s="41"/>
      <c r="N853" s="41"/>
    </row>
    <row r="854" spans="2:14" ht="12.75" x14ac:dyDescent="0.2">
      <c r="B854" s="41"/>
      <c r="C854" s="41"/>
      <c r="D854" s="41"/>
      <c r="E854" s="41"/>
      <c r="F854" s="41"/>
      <c r="G854" s="41"/>
      <c r="H854" s="41"/>
      <c r="I854" s="41"/>
      <c r="J854" s="41"/>
      <c r="K854" s="41"/>
      <c r="L854" s="41"/>
      <c r="M854" s="41"/>
      <c r="N854" s="41"/>
    </row>
    <row r="855" spans="2:14" ht="12.75" x14ac:dyDescent="0.2">
      <c r="B855" s="41"/>
      <c r="C855" s="41"/>
      <c r="D855" s="41"/>
      <c r="E855" s="41"/>
      <c r="F855" s="41"/>
      <c r="G855" s="41"/>
      <c r="H855" s="41"/>
      <c r="I855" s="41"/>
      <c r="J855" s="41"/>
      <c r="K855" s="41"/>
      <c r="L855" s="41"/>
      <c r="M855" s="41"/>
      <c r="N855" s="41"/>
    </row>
    <row r="856" spans="2:14" ht="12.75" x14ac:dyDescent="0.2">
      <c r="B856" s="41"/>
      <c r="C856" s="41"/>
      <c r="D856" s="41"/>
      <c r="E856" s="41"/>
      <c r="F856" s="41"/>
      <c r="G856" s="41"/>
      <c r="H856" s="41"/>
      <c r="I856" s="41"/>
      <c r="J856" s="41"/>
      <c r="K856" s="41"/>
      <c r="L856" s="41"/>
      <c r="M856" s="41"/>
      <c r="N856" s="41"/>
    </row>
    <row r="857" spans="2:14" ht="12.75" x14ac:dyDescent="0.2">
      <c r="B857" s="41"/>
      <c r="C857" s="41"/>
      <c r="D857" s="41"/>
      <c r="E857" s="41"/>
      <c r="F857" s="41"/>
      <c r="G857" s="41"/>
      <c r="H857" s="41"/>
      <c r="I857" s="41"/>
      <c r="J857" s="41"/>
      <c r="K857" s="41"/>
      <c r="L857" s="41"/>
      <c r="M857" s="41"/>
      <c r="N857" s="41"/>
    </row>
    <row r="858" spans="2:14" ht="12.75" x14ac:dyDescent="0.2">
      <c r="B858" s="41"/>
      <c r="C858" s="41"/>
      <c r="D858" s="41"/>
      <c r="E858" s="41"/>
      <c r="F858" s="41"/>
      <c r="G858" s="41"/>
      <c r="H858" s="41"/>
      <c r="I858" s="41"/>
      <c r="J858" s="41"/>
      <c r="K858" s="41"/>
      <c r="L858" s="41"/>
      <c r="M858" s="41"/>
      <c r="N858" s="41"/>
    </row>
    <row r="859" spans="2:14" ht="12.75" x14ac:dyDescent="0.2">
      <c r="B859" s="41"/>
      <c r="C859" s="41"/>
      <c r="D859" s="41"/>
      <c r="E859" s="41"/>
      <c r="F859" s="41"/>
      <c r="G859" s="41"/>
      <c r="H859" s="41"/>
      <c r="I859" s="41"/>
      <c r="J859" s="41"/>
      <c r="K859" s="41"/>
      <c r="L859" s="41"/>
      <c r="M859" s="41"/>
      <c r="N859" s="41"/>
    </row>
    <row r="860" spans="2:14" ht="12.75" x14ac:dyDescent="0.2">
      <c r="B860" s="41"/>
      <c r="C860" s="41"/>
      <c r="D860" s="41"/>
      <c r="E860" s="41"/>
      <c r="F860" s="41"/>
      <c r="G860" s="41"/>
      <c r="H860" s="41"/>
      <c r="I860" s="41"/>
      <c r="J860" s="41"/>
      <c r="K860" s="41"/>
      <c r="L860" s="41"/>
      <c r="M860" s="41"/>
      <c r="N860" s="41"/>
    </row>
    <row r="861" spans="2:14" ht="12.75" x14ac:dyDescent="0.2">
      <c r="B861" s="41"/>
      <c r="C861" s="41"/>
      <c r="D861" s="41"/>
      <c r="E861" s="41"/>
      <c r="F861" s="41"/>
      <c r="G861" s="41"/>
      <c r="H861" s="41"/>
      <c r="I861" s="41"/>
      <c r="J861" s="41"/>
      <c r="K861" s="41"/>
      <c r="L861" s="41"/>
      <c r="M861" s="41"/>
      <c r="N861" s="41"/>
    </row>
    <row r="862" spans="2:14" ht="12.75" x14ac:dyDescent="0.2">
      <c r="B862" s="41"/>
      <c r="C862" s="41"/>
      <c r="D862" s="41"/>
      <c r="E862" s="41"/>
      <c r="F862" s="41"/>
      <c r="G862" s="41"/>
      <c r="H862" s="41"/>
      <c r="I862" s="41"/>
      <c r="J862" s="41"/>
      <c r="K862" s="41"/>
      <c r="L862" s="41"/>
      <c r="M862" s="41"/>
      <c r="N862" s="41"/>
    </row>
    <row r="863" spans="2:14" ht="12.75" x14ac:dyDescent="0.2">
      <c r="B863" s="41"/>
      <c r="C863" s="41"/>
      <c r="D863" s="41"/>
      <c r="E863" s="41"/>
      <c r="F863" s="41"/>
      <c r="G863" s="41"/>
      <c r="H863" s="41"/>
      <c r="I863" s="41"/>
      <c r="J863" s="41"/>
      <c r="K863" s="41"/>
      <c r="L863" s="41"/>
      <c r="M863" s="41"/>
      <c r="N863" s="41"/>
    </row>
    <row r="864" spans="2:14" ht="12.75" x14ac:dyDescent="0.2">
      <c r="B864" s="41"/>
      <c r="C864" s="41"/>
      <c r="D864" s="41"/>
      <c r="E864" s="41"/>
      <c r="F864" s="41"/>
      <c r="G864" s="41"/>
      <c r="H864" s="41"/>
      <c r="I864" s="41"/>
      <c r="J864" s="41"/>
      <c r="K864" s="41"/>
      <c r="L864" s="41"/>
      <c r="M864" s="41"/>
      <c r="N864" s="41"/>
    </row>
    <row r="865" spans="2:14" ht="12.75" x14ac:dyDescent="0.2">
      <c r="B865" s="41"/>
      <c r="C865" s="41"/>
      <c r="D865" s="41"/>
      <c r="E865" s="41"/>
      <c r="F865" s="41"/>
      <c r="G865" s="41"/>
      <c r="H865" s="41"/>
      <c r="I865" s="41"/>
      <c r="J865" s="41"/>
      <c r="K865" s="41"/>
      <c r="L865" s="41"/>
      <c r="M865" s="41"/>
      <c r="N865" s="41"/>
    </row>
    <row r="866" spans="2:14" ht="12.75" x14ac:dyDescent="0.2">
      <c r="B866" s="41"/>
      <c r="C866" s="41"/>
      <c r="D866" s="41"/>
      <c r="E866" s="41"/>
      <c r="F866" s="41"/>
      <c r="G866" s="41"/>
      <c r="H866" s="41"/>
      <c r="I866" s="41"/>
      <c r="J866" s="41"/>
      <c r="K866" s="41"/>
      <c r="L866" s="41"/>
      <c r="M866" s="41"/>
      <c r="N866" s="41"/>
    </row>
    <row r="867" spans="2:14" ht="12.75" x14ac:dyDescent="0.2">
      <c r="B867" s="41"/>
      <c r="C867" s="41"/>
      <c r="D867" s="41"/>
      <c r="E867" s="41"/>
      <c r="F867" s="41"/>
      <c r="G867" s="41"/>
      <c r="H867" s="41"/>
      <c r="I867" s="41"/>
      <c r="J867" s="41"/>
      <c r="K867" s="41"/>
      <c r="L867" s="41"/>
      <c r="M867" s="41"/>
      <c r="N867" s="41"/>
    </row>
    <row r="868" spans="2:14" ht="12.75" x14ac:dyDescent="0.2">
      <c r="B868" s="41"/>
      <c r="C868" s="41"/>
      <c r="D868" s="41"/>
      <c r="E868" s="41"/>
      <c r="F868" s="41"/>
      <c r="G868" s="41"/>
      <c r="H868" s="41"/>
      <c r="I868" s="41"/>
      <c r="J868" s="41"/>
      <c r="K868" s="41"/>
      <c r="L868" s="41"/>
      <c r="M868" s="41"/>
      <c r="N868" s="41"/>
    </row>
    <row r="869" spans="2:14" ht="12.75" x14ac:dyDescent="0.2">
      <c r="B869" s="41"/>
      <c r="C869" s="41"/>
      <c r="D869" s="41"/>
      <c r="E869" s="41"/>
      <c r="F869" s="41"/>
      <c r="G869" s="41"/>
      <c r="H869" s="41"/>
      <c r="I869" s="41"/>
      <c r="J869" s="41"/>
      <c r="K869" s="41"/>
      <c r="L869" s="41"/>
      <c r="M869" s="41"/>
      <c r="N869" s="41"/>
    </row>
    <row r="870" spans="2:14" ht="12.75" x14ac:dyDescent="0.2">
      <c r="B870" s="41"/>
      <c r="C870" s="41"/>
      <c r="D870" s="41"/>
      <c r="E870" s="41"/>
      <c r="F870" s="41"/>
      <c r="G870" s="41"/>
      <c r="H870" s="41"/>
      <c r="I870" s="41"/>
      <c r="J870" s="41"/>
      <c r="K870" s="41"/>
      <c r="L870" s="41"/>
      <c r="M870" s="41"/>
      <c r="N870" s="41"/>
    </row>
    <row r="871" spans="2:14" ht="12.75" x14ac:dyDescent="0.2">
      <c r="B871" s="41"/>
      <c r="C871" s="41"/>
      <c r="D871" s="41"/>
      <c r="E871" s="41"/>
      <c r="F871" s="41"/>
      <c r="G871" s="41"/>
      <c r="H871" s="41"/>
      <c r="I871" s="41"/>
      <c r="J871" s="41"/>
      <c r="K871" s="41"/>
      <c r="L871" s="41"/>
      <c r="M871" s="41"/>
      <c r="N871" s="41"/>
    </row>
    <row r="872" spans="2:14" ht="12.75" x14ac:dyDescent="0.2">
      <c r="B872" s="41"/>
      <c r="C872" s="41"/>
      <c r="D872" s="41"/>
      <c r="E872" s="41"/>
      <c r="F872" s="41"/>
      <c r="G872" s="41"/>
      <c r="H872" s="41"/>
      <c r="I872" s="41"/>
      <c r="J872" s="41"/>
      <c r="K872" s="41"/>
      <c r="L872" s="41"/>
      <c r="M872" s="41"/>
      <c r="N872" s="41"/>
    </row>
    <row r="873" spans="2:14" ht="12.75" x14ac:dyDescent="0.2">
      <c r="B873" s="41"/>
      <c r="C873" s="41"/>
      <c r="D873" s="41"/>
      <c r="E873" s="41"/>
      <c r="F873" s="41"/>
      <c r="G873" s="41"/>
      <c r="H873" s="41"/>
      <c r="I873" s="41"/>
      <c r="J873" s="41"/>
      <c r="K873" s="41"/>
      <c r="L873" s="41"/>
      <c r="M873" s="41"/>
      <c r="N873" s="41"/>
    </row>
    <row r="874" spans="2:14" ht="12.75" x14ac:dyDescent="0.2">
      <c r="B874" s="41"/>
      <c r="C874" s="41"/>
      <c r="D874" s="41"/>
      <c r="E874" s="41"/>
      <c r="F874" s="41"/>
      <c r="G874" s="41"/>
      <c r="H874" s="41"/>
      <c r="I874" s="41"/>
      <c r="J874" s="41"/>
      <c r="K874" s="41"/>
      <c r="L874" s="41"/>
      <c r="M874" s="41"/>
      <c r="N874" s="41"/>
    </row>
    <row r="875" spans="2:14" ht="12.75" x14ac:dyDescent="0.2">
      <c r="B875" s="41"/>
      <c r="C875" s="41"/>
      <c r="D875" s="41"/>
      <c r="E875" s="41"/>
      <c r="F875" s="41"/>
      <c r="G875" s="41"/>
      <c r="H875" s="41"/>
      <c r="I875" s="41"/>
      <c r="J875" s="41"/>
      <c r="K875" s="41"/>
      <c r="L875" s="41"/>
      <c r="M875" s="41"/>
      <c r="N875" s="41"/>
    </row>
    <row r="876" spans="2:14" ht="12.75" x14ac:dyDescent="0.2">
      <c r="B876" s="41"/>
      <c r="C876" s="41"/>
      <c r="D876" s="41"/>
      <c r="E876" s="41"/>
      <c r="F876" s="41"/>
      <c r="G876" s="41"/>
      <c r="H876" s="41"/>
      <c r="I876" s="41"/>
      <c r="J876" s="41"/>
      <c r="K876" s="41"/>
      <c r="L876" s="41"/>
      <c r="M876" s="41"/>
      <c r="N876" s="41"/>
    </row>
    <row r="877" spans="2:14" ht="12.75" x14ac:dyDescent="0.2">
      <c r="B877" s="41"/>
      <c r="C877" s="41"/>
      <c r="D877" s="41"/>
      <c r="E877" s="41"/>
      <c r="F877" s="41"/>
      <c r="G877" s="41"/>
      <c r="H877" s="41"/>
      <c r="I877" s="41"/>
      <c r="J877" s="41"/>
      <c r="K877" s="41"/>
      <c r="L877" s="41"/>
      <c r="M877" s="41"/>
      <c r="N877" s="41"/>
    </row>
    <row r="878" spans="2:14" ht="12.75" x14ac:dyDescent="0.2">
      <c r="B878" s="41"/>
      <c r="C878" s="41"/>
      <c r="D878" s="41"/>
      <c r="E878" s="41"/>
      <c r="F878" s="41"/>
      <c r="G878" s="41"/>
      <c r="H878" s="41"/>
      <c r="I878" s="41"/>
      <c r="J878" s="41"/>
      <c r="K878" s="41"/>
      <c r="L878" s="41"/>
      <c r="M878" s="41"/>
      <c r="N878" s="41"/>
    </row>
    <row r="879" spans="2:14" ht="12.75" x14ac:dyDescent="0.2">
      <c r="B879" s="41"/>
      <c r="C879" s="41"/>
      <c r="D879" s="41"/>
      <c r="E879" s="41"/>
      <c r="F879" s="41"/>
      <c r="G879" s="41"/>
      <c r="H879" s="41"/>
      <c r="I879" s="41"/>
      <c r="J879" s="41"/>
      <c r="K879" s="41"/>
      <c r="L879" s="41"/>
      <c r="M879" s="41"/>
      <c r="N879" s="41"/>
    </row>
    <row r="880" spans="2:14" ht="12.75" x14ac:dyDescent="0.2">
      <c r="B880" s="41"/>
      <c r="C880" s="41"/>
      <c r="D880" s="41"/>
      <c r="E880" s="41"/>
      <c r="F880" s="41"/>
      <c r="G880" s="41"/>
      <c r="H880" s="41"/>
      <c r="I880" s="41"/>
      <c r="J880" s="41"/>
      <c r="K880" s="41"/>
      <c r="L880" s="41"/>
      <c r="M880" s="41"/>
      <c r="N880" s="41"/>
    </row>
    <row r="881" spans="2:14" ht="12.75" x14ac:dyDescent="0.2">
      <c r="B881" s="41"/>
      <c r="C881" s="41"/>
      <c r="D881" s="41"/>
      <c r="E881" s="41"/>
      <c r="F881" s="41"/>
      <c r="G881" s="41"/>
      <c r="H881" s="41"/>
      <c r="I881" s="41"/>
      <c r="J881" s="41"/>
      <c r="K881" s="41"/>
      <c r="L881" s="41"/>
      <c r="M881" s="41"/>
      <c r="N881" s="41"/>
    </row>
    <row r="882" spans="2:14" ht="12.75" x14ac:dyDescent="0.2">
      <c r="B882" s="41"/>
      <c r="C882" s="41"/>
      <c r="D882" s="41"/>
      <c r="E882" s="41"/>
      <c r="F882" s="41"/>
      <c r="G882" s="41"/>
      <c r="H882" s="41"/>
      <c r="I882" s="41"/>
      <c r="J882" s="41"/>
      <c r="K882" s="41"/>
      <c r="L882" s="41"/>
      <c r="M882" s="41"/>
      <c r="N882" s="41"/>
    </row>
    <row r="883" spans="2:14" ht="12.75" x14ac:dyDescent="0.2">
      <c r="B883" s="41"/>
      <c r="C883" s="41"/>
      <c r="D883" s="41"/>
      <c r="E883" s="41"/>
      <c r="F883" s="41"/>
      <c r="G883" s="41"/>
      <c r="H883" s="41"/>
      <c r="I883" s="41"/>
      <c r="J883" s="41"/>
      <c r="K883" s="41"/>
      <c r="L883" s="41"/>
      <c r="M883" s="41"/>
      <c r="N883" s="41"/>
    </row>
    <row r="884" spans="2:14" ht="12.75" x14ac:dyDescent="0.2">
      <c r="B884" s="41"/>
      <c r="C884" s="41"/>
      <c r="D884" s="41"/>
      <c r="E884" s="41"/>
      <c r="F884" s="41"/>
      <c r="G884" s="41"/>
      <c r="H884" s="41"/>
      <c r="I884" s="41"/>
      <c r="J884" s="41"/>
      <c r="K884" s="41"/>
      <c r="L884" s="41"/>
      <c r="M884" s="41"/>
      <c r="N884" s="41"/>
    </row>
    <row r="885" spans="2:14" ht="12.75" x14ac:dyDescent="0.2">
      <c r="B885" s="41"/>
      <c r="C885" s="41"/>
      <c r="D885" s="41"/>
      <c r="E885" s="41"/>
      <c r="F885" s="41"/>
      <c r="G885" s="41"/>
      <c r="H885" s="41"/>
      <c r="I885" s="41"/>
      <c r="J885" s="41"/>
      <c r="K885" s="41"/>
      <c r="L885" s="41"/>
      <c r="M885" s="41"/>
      <c r="N885" s="41"/>
    </row>
    <row r="886" spans="2:14" ht="12.75" x14ac:dyDescent="0.2">
      <c r="B886" s="41"/>
      <c r="C886" s="41"/>
      <c r="D886" s="41"/>
      <c r="E886" s="41"/>
      <c r="F886" s="41"/>
      <c r="G886" s="41"/>
      <c r="H886" s="41"/>
      <c r="I886" s="41"/>
      <c r="J886" s="41"/>
      <c r="K886" s="41"/>
      <c r="L886" s="41"/>
      <c r="M886" s="41"/>
      <c r="N886" s="41"/>
    </row>
    <row r="887" spans="2:14" ht="12.75" x14ac:dyDescent="0.2">
      <c r="B887" s="41"/>
      <c r="C887" s="41"/>
      <c r="D887" s="41"/>
      <c r="E887" s="41"/>
      <c r="F887" s="41"/>
      <c r="G887" s="41"/>
      <c r="H887" s="41"/>
      <c r="I887" s="41"/>
      <c r="J887" s="41"/>
      <c r="K887" s="41"/>
      <c r="L887" s="41"/>
      <c r="M887" s="41"/>
      <c r="N887" s="41"/>
    </row>
    <row r="888" spans="2:14" ht="12.75" x14ac:dyDescent="0.2">
      <c r="B888" s="41"/>
      <c r="C888" s="41"/>
      <c r="D888" s="41"/>
      <c r="E888" s="41"/>
      <c r="F888" s="41"/>
      <c r="G888" s="41"/>
      <c r="H888" s="41"/>
      <c r="I888" s="41"/>
      <c r="J888" s="41"/>
      <c r="K888" s="41"/>
      <c r="L888" s="41"/>
      <c r="M888" s="41"/>
      <c r="N888" s="41"/>
    </row>
    <row r="889" spans="2:14" ht="12.75" x14ac:dyDescent="0.2">
      <c r="B889" s="41"/>
      <c r="C889" s="41"/>
      <c r="D889" s="41"/>
      <c r="E889" s="41"/>
      <c r="F889" s="41"/>
      <c r="G889" s="41"/>
      <c r="H889" s="41"/>
      <c r="I889" s="41"/>
      <c r="J889" s="41"/>
      <c r="K889" s="41"/>
      <c r="L889" s="41"/>
      <c r="M889" s="41"/>
      <c r="N889" s="41"/>
    </row>
    <row r="890" spans="2:14" ht="12.75" x14ac:dyDescent="0.2">
      <c r="B890" s="41"/>
      <c r="C890" s="41"/>
      <c r="D890" s="41"/>
      <c r="E890" s="41"/>
      <c r="F890" s="41"/>
      <c r="G890" s="41"/>
      <c r="H890" s="41"/>
      <c r="I890" s="41"/>
      <c r="J890" s="41"/>
      <c r="K890" s="41"/>
      <c r="L890" s="41"/>
      <c r="M890" s="41"/>
      <c r="N890" s="41"/>
    </row>
    <row r="891" spans="2:14" ht="12.75" x14ac:dyDescent="0.2">
      <c r="B891" s="41"/>
      <c r="C891" s="41"/>
      <c r="D891" s="41"/>
      <c r="E891" s="41"/>
      <c r="F891" s="41"/>
      <c r="G891" s="41"/>
      <c r="H891" s="41"/>
      <c r="I891" s="41"/>
      <c r="J891" s="41"/>
      <c r="K891" s="41"/>
      <c r="L891" s="41"/>
      <c r="M891" s="41"/>
      <c r="N891" s="41"/>
    </row>
    <row r="892" spans="2:14" ht="12.75" x14ac:dyDescent="0.2">
      <c r="B892" s="41"/>
      <c r="C892" s="41"/>
      <c r="D892" s="41"/>
      <c r="E892" s="41"/>
      <c r="F892" s="41"/>
      <c r="G892" s="41"/>
      <c r="H892" s="41"/>
      <c r="I892" s="41"/>
      <c r="J892" s="41"/>
      <c r="K892" s="41"/>
      <c r="L892" s="41"/>
      <c r="M892" s="41"/>
      <c r="N892" s="41"/>
    </row>
    <row r="893" spans="2:14" ht="12.75" x14ac:dyDescent="0.2">
      <c r="B893" s="41"/>
      <c r="C893" s="41"/>
      <c r="D893" s="41"/>
      <c r="E893" s="41"/>
      <c r="F893" s="41"/>
      <c r="G893" s="41"/>
      <c r="H893" s="41"/>
      <c r="I893" s="41"/>
      <c r="J893" s="41"/>
      <c r="K893" s="41"/>
      <c r="L893" s="41"/>
      <c r="M893" s="41"/>
      <c r="N893" s="41"/>
    </row>
    <row r="894" spans="2:14" ht="12.75" x14ac:dyDescent="0.2">
      <c r="B894" s="41"/>
      <c r="C894" s="41"/>
      <c r="D894" s="41"/>
      <c r="E894" s="41"/>
      <c r="F894" s="41"/>
      <c r="G894" s="41"/>
      <c r="H894" s="41"/>
      <c r="I894" s="41"/>
      <c r="J894" s="41"/>
      <c r="K894" s="41"/>
      <c r="L894" s="41"/>
      <c r="M894" s="41"/>
      <c r="N894" s="41"/>
    </row>
    <row r="895" spans="2:14" ht="12.75" x14ac:dyDescent="0.2">
      <c r="B895" s="41"/>
      <c r="C895" s="41"/>
      <c r="D895" s="41"/>
      <c r="E895" s="41"/>
      <c r="F895" s="41"/>
      <c r="G895" s="41"/>
      <c r="H895" s="41"/>
      <c r="I895" s="41"/>
      <c r="J895" s="41"/>
      <c r="K895" s="41"/>
      <c r="L895" s="41"/>
      <c r="M895" s="41"/>
      <c r="N895" s="41"/>
    </row>
    <row r="896" spans="2:14" ht="12.75" x14ac:dyDescent="0.2">
      <c r="B896" s="41"/>
      <c r="C896" s="41"/>
      <c r="D896" s="41"/>
      <c r="E896" s="41"/>
      <c r="F896" s="41"/>
      <c r="G896" s="41"/>
      <c r="H896" s="41"/>
      <c r="I896" s="41"/>
      <c r="J896" s="41"/>
      <c r="K896" s="41"/>
      <c r="L896" s="41"/>
      <c r="M896" s="41"/>
      <c r="N896" s="41"/>
    </row>
    <row r="897" spans="2:14" ht="12.75" x14ac:dyDescent="0.2">
      <c r="B897" s="41"/>
      <c r="C897" s="41"/>
      <c r="D897" s="41"/>
      <c r="E897" s="41"/>
      <c r="F897" s="41"/>
      <c r="G897" s="41"/>
      <c r="H897" s="41"/>
      <c r="I897" s="41"/>
      <c r="J897" s="41"/>
      <c r="K897" s="41"/>
      <c r="L897" s="41"/>
      <c r="M897" s="41"/>
      <c r="N897" s="41"/>
    </row>
    <row r="898" spans="2:14" ht="12.75" x14ac:dyDescent="0.2">
      <c r="B898" s="41"/>
      <c r="C898" s="41"/>
      <c r="D898" s="41"/>
      <c r="E898" s="41"/>
      <c r="F898" s="41"/>
      <c r="G898" s="41"/>
      <c r="H898" s="41"/>
      <c r="I898" s="41"/>
      <c r="J898" s="41"/>
      <c r="K898" s="41"/>
      <c r="L898" s="41"/>
      <c r="M898" s="41"/>
      <c r="N898" s="41"/>
    </row>
    <row r="899" spans="2:14" ht="12.75" x14ac:dyDescent="0.2">
      <c r="B899" s="41"/>
      <c r="C899" s="41"/>
      <c r="D899" s="41"/>
      <c r="E899" s="41"/>
      <c r="F899" s="41"/>
      <c r="G899" s="41"/>
      <c r="H899" s="41"/>
      <c r="I899" s="41"/>
      <c r="J899" s="41"/>
      <c r="K899" s="41"/>
      <c r="L899" s="41"/>
      <c r="M899" s="41"/>
      <c r="N899" s="41"/>
    </row>
    <row r="900" spans="2:14" ht="12.75" x14ac:dyDescent="0.2">
      <c r="B900" s="41"/>
      <c r="C900" s="41"/>
      <c r="D900" s="41"/>
      <c r="E900" s="41"/>
      <c r="F900" s="41"/>
      <c r="G900" s="41"/>
      <c r="H900" s="41"/>
      <c r="I900" s="41"/>
      <c r="J900" s="41"/>
      <c r="K900" s="41"/>
      <c r="L900" s="41"/>
      <c r="M900" s="41"/>
      <c r="N900" s="41"/>
    </row>
    <row r="901" spans="2:14" ht="12.75" x14ac:dyDescent="0.2">
      <c r="B901" s="41"/>
      <c r="C901" s="41"/>
      <c r="D901" s="41"/>
      <c r="E901" s="41"/>
      <c r="F901" s="41"/>
      <c r="G901" s="41"/>
      <c r="H901" s="41"/>
      <c r="I901" s="41"/>
      <c r="J901" s="41"/>
      <c r="K901" s="41"/>
      <c r="L901" s="41"/>
      <c r="M901" s="41"/>
      <c r="N901" s="41"/>
    </row>
    <row r="902" spans="2:14" ht="12.75" x14ac:dyDescent="0.2">
      <c r="B902" s="41"/>
      <c r="C902" s="41"/>
      <c r="D902" s="41"/>
      <c r="E902" s="41"/>
      <c r="F902" s="41"/>
      <c r="G902" s="41"/>
      <c r="H902" s="41"/>
      <c r="I902" s="41"/>
      <c r="J902" s="41"/>
      <c r="K902" s="41"/>
      <c r="L902" s="41"/>
      <c r="M902" s="41"/>
      <c r="N902" s="41"/>
    </row>
    <row r="903" spans="2:14" ht="12.75" x14ac:dyDescent="0.2">
      <c r="B903" s="41"/>
      <c r="C903" s="41"/>
      <c r="D903" s="41"/>
      <c r="E903" s="41"/>
      <c r="F903" s="41"/>
      <c r="G903" s="41"/>
      <c r="H903" s="41"/>
      <c r="I903" s="41"/>
      <c r="J903" s="41"/>
      <c r="K903" s="41"/>
      <c r="L903" s="41"/>
      <c r="M903" s="41"/>
      <c r="N903" s="41"/>
    </row>
    <row r="904" spans="2:14" ht="12.75" x14ac:dyDescent="0.2">
      <c r="B904" s="41"/>
      <c r="C904" s="41"/>
      <c r="D904" s="41"/>
      <c r="E904" s="41"/>
      <c r="F904" s="41"/>
      <c r="G904" s="41"/>
      <c r="H904" s="41"/>
      <c r="I904" s="41"/>
      <c r="J904" s="41"/>
      <c r="K904" s="41"/>
      <c r="L904" s="41"/>
      <c r="M904" s="41"/>
      <c r="N904" s="41"/>
    </row>
    <row r="905" spans="2:14" ht="12.75" x14ac:dyDescent="0.2">
      <c r="B905" s="41"/>
      <c r="C905" s="41"/>
      <c r="D905" s="41"/>
      <c r="E905" s="41"/>
      <c r="F905" s="41"/>
      <c r="G905" s="41"/>
      <c r="H905" s="41"/>
      <c r="I905" s="41"/>
      <c r="J905" s="41"/>
      <c r="K905" s="41"/>
      <c r="L905" s="41"/>
      <c r="M905" s="41"/>
      <c r="N905" s="41"/>
    </row>
    <row r="906" spans="2:14" ht="12.75" x14ac:dyDescent="0.2">
      <c r="B906" s="41"/>
      <c r="C906" s="41"/>
      <c r="D906" s="41"/>
      <c r="E906" s="41"/>
      <c r="F906" s="41"/>
      <c r="G906" s="41"/>
      <c r="H906" s="41"/>
      <c r="I906" s="41"/>
      <c r="J906" s="41"/>
      <c r="K906" s="41"/>
      <c r="L906" s="41"/>
      <c r="M906" s="41"/>
      <c r="N906" s="41"/>
    </row>
    <row r="907" spans="2:14" ht="12.75" x14ac:dyDescent="0.2">
      <c r="B907" s="41"/>
      <c r="C907" s="41"/>
      <c r="D907" s="41"/>
      <c r="E907" s="41"/>
      <c r="F907" s="41"/>
      <c r="G907" s="41"/>
      <c r="H907" s="41"/>
      <c r="I907" s="41"/>
      <c r="J907" s="41"/>
      <c r="K907" s="41"/>
      <c r="L907" s="41"/>
      <c r="M907" s="41"/>
      <c r="N907" s="41"/>
    </row>
    <row r="908" spans="2:14" ht="12.75" x14ac:dyDescent="0.2">
      <c r="B908" s="41"/>
      <c r="C908" s="41"/>
      <c r="D908" s="41"/>
      <c r="E908" s="41"/>
      <c r="F908" s="41"/>
      <c r="G908" s="41"/>
      <c r="H908" s="41"/>
      <c r="I908" s="41"/>
      <c r="J908" s="41"/>
      <c r="K908" s="41"/>
      <c r="L908" s="41"/>
      <c r="M908" s="41"/>
      <c r="N908" s="41"/>
    </row>
    <row r="909" spans="2:14" ht="12.75" x14ac:dyDescent="0.2">
      <c r="B909" s="41"/>
      <c r="C909" s="41"/>
      <c r="D909" s="41"/>
      <c r="E909" s="41"/>
      <c r="F909" s="41"/>
      <c r="G909" s="41"/>
      <c r="H909" s="41"/>
      <c r="I909" s="41"/>
      <c r="J909" s="41"/>
      <c r="K909" s="41"/>
      <c r="L909" s="41"/>
      <c r="M909" s="41"/>
      <c r="N909" s="41"/>
    </row>
    <row r="910" spans="2:14" ht="12.75" x14ac:dyDescent="0.2">
      <c r="B910" s="41"/>
      <c r="C910" s="41"/>
      <c r="D910" s="41"/>
      <c r="E910" s="41"/>
      <c r="F910" s="41"/>
      <c r="G910" s="41"/>
      <c r="H910" s="41"/>
      <c r="I910" s="41"/>
      <c r="J910" s="41"/>
      <c r="K910" s="41"/>
      <c r="L910" s="41"/>
      <c r="M910" s="41"/>
      <c r="N910" s="41"/>
    </row>
    <row r="911" spans="2:14" ht="12.75" x14ac:dyDescent="0.2">
      <c r="B911" s="41"/>
      <c r="C911" s="41"/>
      <c r="D911" s="41"/>
      <c r="E911" s="41"/>
      <c r="F911" s="41"/>
      <c r="G911" s="41"/>
      <c r="H911" s="41"/>
      <c r="I911" s="41"/>
      <c r="J911" s="41"/>
      <c r="K911" s="41"/>
      <c r="L911" s="41"/>
      <c r="M911" s="41"/>
      <c r="N911" s="41"/>
    </row>
    <row r="912" spans="2:14" ht="12.75" x14ac:dyDescent="0.2">
      <c r="B912" s="41"/>
      <c r="C912" s="41"/>
      <c r="D912" s="41"/>
      <c r="E912" s="41"/>
      <c r="F912" s="41"/>
      <c r="G912" s="41"/>
      <c r="H912" s="41"/>
      <c r="I912" s="41"/>
      <c r="J912" s="41"/>
      <c r="K912" s="41"/>
      <c r="L912" s="41"/>
      <c r="M912" s="41"/>
      <c r="N912" s="41"/>
    </row>
    <row r="913" spans="2:14" ht="12.75" x14ac:dyDescent="0.2">
      <c r="B913" s="41"/>
      <c r="C913" s="41"/>
      <c r="D913" s="41"/>
      <c r="E913" s="41"/>
      <c r="F913" s="41"/>
      <c r="G913" s="41"/>
      <c r="H913" s="41"/>
      <c r="I913" s="41"/>
      <c r="J913" s="41"/>
      <c r="K913" s="41"/>
      <c r="L913" s="41"/>
      <c r="M913" s="41"/>
      <c r="N913" s="41"/>
    </row>
    <row r="914" spans="2:14" ht="12.75" x14ac:dyDescent="0.2">
      <c r="B914" s="41"/>
      <c r="C914" s="41"/>
      <c r="D914" s="41"/>
      <c r="E914" s="41"/>
      <c r="F914" s="41"/>
      <c r="G914" s="41"/>
      <c r="H914" s="41"/>
      <c r="I914" s="41"/>
      <c r="J914" s="41"/>
      <c r="K914" s="41"/>
      <c r="L914" s="41"/>
      <c r="M914" s="41"/>
      <c r="N914" s="41"/>
    </row>
    <row r="915" spans="2:14" ht="12.75" x14ac:dyDescent="0.2">
      <c r="B915" s="41"/>
      <c r="C915" s="41"/>
      <c r="D915" s="41"/>
      <c r="E915" s="41"/>
      <c r="F915" s="41"/>
      <c r="G915" s="41"/>
      <c r="H915" s="41"/>
      <c r="I915" s="41"/>
      <c r="J915" s="41"/>
      <c r="K915" s="41"/>
      <c r="L915" s="41"/>
      <c r="M915" s="41"/>
      <c r="N915" s="41"/>
    </row>
    <row r="916" spans="2:14" ht="12.75" x14ac:dyDescent="0.2">
      <c r="B916" s="41"/>
      <c r="C916" s="41"/>
      <c r="D916" s="41"/>
      <c r="E916" s="41"/>
      <c r="F916" s="41"/>
      <c r="G916" s="41"/>
      <c r="H916" s="41"/>
      <c r="I916" s="41"/>
      <c r="J916" s="41"/>
      <c r="K916" s="41"/>
      <c r="L916" s="41"/>
      <c r="M916" s="41"/>
      <c r="N916" s="41"/>
    </row>
    <row r="917" spans="2:14" ht="12.75" x14ac:dyDescent="0.2">
      <c r="B917" s="41"/>
      <c r="C917" s="41"/>
      <c r="D917" s="41"/>
      <c r="E917" s="41"/>
      <c r="F917" s="41"/>
      <c r="G917" s="41"/>
      <c r="H917" s="41"/>
      <c r="I917" s="41"/>
      <c r="J917" s="41"/>
      <c r="K917" s="41"/>
      <c r="L917" s="41"/>
      <c r="M917" s="41"/>
      <c r="N917" s="41"/>
    </row>
    <row r="918" spans="2:14" ht="12.75" x14ac:dyDescent="0.2">
      <c r="B918" s="41"/>
      <c r="C918" s="41"/>
      <c r="D918" s="41"/>
      <c r="E918" s="41"/>
      <c r="F918" s="41"/>
      <c r="G918" s="41"/>
      <c r="H918" s="41"/>
      <c r="I918" s="41"/>
      <c r="J918" s="41"/>
      <c r="K918" s="41"/>
      <c r="L918" s="41"/>
      <c r="M918" s="41"/>
      <c r="N918" s="41"/>
    </row>
    <row r="919" spans="2:14" ht="12.75" x14ac:dyDescent="0.2">
      <c r="B919" s="41"/>
      <c r="C919" s="41"/>
      <c r="D919" s="41"/>
      <c r="E919" s="41"/>
      <c r="F919" s="41"/>
      <c r="G919" s="41"/>
      <c r="H919" s="41"/>
      <c r="I919" s="41"/>
      <c r="J919" s="41"/>
      <c r="K919" s="41"/>
      <c r="L919" s="41"/>
      <c r="M919" s="41"/>
      <c r="N919" s="41"/>
    </row>
    <row r="920" spans="2:14" ht="12.75" x14ac:dyDescent="0.2">
      <c r="B920" s="41"/>
      <c r="C920" s="41"/>
      <c r="D920" s="41"/>
      <c r="E920" s="41"/>
      <c r="F920" s="41"/>
      <c r="G920" s="41"/>
      <c r="H920" s="41"/>
      <c r="I920" s="41"/>
      <c r="J920" s="41"/>
      <c r="K920" s="41"/>
      <c r="L920" s="41"/>
      <c r="M920" s="41"/>
      <c r="N920" s="41"/>
    </row>
    <row r="921" spans="2:14" ht="12.75" x14ac:dyDescent="0.2">
      <c r="B921" s="41"/>
      <c r="C921" s="41"/>
      <c r="D921" s="41"/>
      <c r="E921" s="41"/>
      <c r="F921" s="41"/>
      <c r="G921" s="41"/>
      <c r="H921" s="41"/>
      <c r="I921" s="41"/>
      <c r="J921" s="41"/>
      <c r="K921" s="41"/>
      <c r="L921" s="41"/>
      <c r="M921" s="41"/>
      <c r="N921" s="41"/>
    </row>
    <row r="922" spans="2:14" ht="12.75" x14ac:dyDescent="0.2">
      <c r="B922" s="41"/>
      <c r="C922" s="41"/>
      <c r="D922" s="41"/>
      <c r="E922" s="41"/>
      <c r="F922" s="41"/>
      <c r="G922" s="41"/>
      <c r="H922" s="41"/>
      <c r="I922" s="41"/>
      <c r="J922" s="41"/>
      <c r="K922" s="41"/>
      <c r="L922" s="41"/>
      <c r="M922" s="41"/>
      <c r="N922" s="41"/>
    </row>
    <row r="923" spans="2:14" ht="12.75" x14ac:dyDescent="0.2">
      <c r="B923" s="41"/>
      <c r="C923" s="41"/>
      <c r="D923" s="41"/>
      <c r="E923" s="41"/>
      <c r="F923" s="41"/>
      <c r="G923" s="41"/>
      <c r="H923" s="41"/>
      <c r="I923" s="41"/>
      <c r="J923" s="41"/>
      <c r="K923" s="41"/>
      <c r="L923" s="41"/>
      <c r="M923" s="41"/>
      <c r="N923" s="41"/>
    </row>
    <row r="924" spans="2:14" ht="12.75" x14ac:dyDescent="0.2">
      <c r="B924" s="41"/>
      <c r="C924" s="41"/>
      <c r="D924" s="41"/>
      <c r="E924" s="41"/>
      <c r="F924" s="41"/>
      <c r="G924" s="41"/>
      <c r="H924" s="41"/>
      <c r="I924" s="41"/>
      <c r="J924" s="41"/>
      <c r="K924" s="41"/>
      <c r="L924" s="41"/>
      <c r="M924" s="41"/>
      <c r="N924" s="41"/>
    </row>
    <row r="925" spans="2:14" ht="12.75" x14ac:dyDescent="0.2">
      <c r="B925" s="41"/>
      <c r="C925" s="41"/>
      <c r="D925" s="41"/>
      <c r="E925" s="41"/>
      <c r="F925" s="41"/>
      <c r="G925" s="41"/>
      <c r="H925" s="41"/>
      <c r="I925" s="41"/>
      <c r="J925" s="41"/>
      <c r="K925" s="41"/>
      <c r="L925" s="41"/>
      <c r="M925" s="41"/>
      <c r="N925" s="41"/>
    </row>
    <row r="926" spans="2:14" ht="12.75" x14ac:dyDescent="0.2">
      <c r="B926" s="41"/>
      <c r="C926" s="41"/>
      <c r="D926" s="41"/>
      <c r="E926" s="41"/>
      <c r="F926" s="41"/>
      <c r="G926" s="41"/>
      <c r="H926" s="41"/>
      <c r="I926" s="41"/>
      <c r="J926" s="41"/>
      <c r="K926" s="41"/>
      <c r="L926" s="41"/>
      <c r="M926" s="41"/>
      <c r="N926" s="41"/>
    </row>
    <row r="927" spans="2:14" ht="12.75" x14ac:dyDescent="0.2">
      <c r="B927" s="41"/>
      <c r="C927" s="41"/>
      <c r="D927" s="41"/>
      <c r="E927" s="41"/>
      <c r="F927" s="41"/>
      <c r="G927" s="41"/>
      <c r="H927" s="41"/>
      <c r="I927" s="41"/>
      <c r="J927" s="41"/>
      <c r="K927" s="41"/>
      <c r="L927" s="41"/>
      <c r="M927" s="41"/>
      <c r="N927" s="41"/>
    </row>
    <row r="928" spans="2:14" ht="12.75" x14ac:dyDescent="0.2">
      <c r="B928" s="41"/>
      <c r="C928" s="41"/>
      <c r="D928" s="41"/>
      <c r="E928" s="41"/>
      <c r="F928" s="41"/>
      <c r="G928" s="41"/>
      <c r="H928" s="41"/>
      <c r="I928" s="41"/>
      <c r="J928" s="41"/>
      <c r="K928" s="41"/>
      <c r="L928" s="41"/>
      <c r="M928" s="41"/>
      <c r="N928" s="41"/>
    </row>
    <row r="929" spans="2:14" ht="12.75" x14ac:dyDescent="0.2">
      <c r="B929" s="41"/>
      <c r="C929" s="41"/>
      <c r="D929" s="41"/>
      <c r="E929" s="41"/>
      <c r="F929" s="41"/>
      <c r="G929" s="41"/>
      <c r="H929" s="41"/>
      <c r="I929" s="41"/>
      <c r="J929" s="41"/>
      <c r="K929" s="41"/>
      <c r="L929" s="41"/>
      <c r="M929" s="41"/>
      <c r="N929" s="41"/>
    </row>
    <row r="930" spans="2:14" ht="12.75" x14ac:dyDescent="0.2">
      <c r="B930" s="41"/>
      <c r="C930" s="41"/>
      <c r="D930" s="41"/>
      <c r="E930" s="41"/>
      <c r="F930" s="41"/>
      <c r="G930" s="41"/>
      <c r="H930" s="41"/>
      <c r="I930" s="41"/>
      <c r="J930" s="41"/>
      <c r="K930" s="41"/>
      <c r="L930" s="41"/>
      <c r="M930" s="41"/>
      <c r="N930" s="41"/>
    </row>
    <row r="931" spans="2:14" ht="12.75" x14ac:dyDescent="0.2">
      <c r="B931" s="41"/>
      <c r="C931" s="41"/>
      <c r="D931" s="41"/>
      <c r="E931" s="41"/>
      <c r="F931" s="41"/>
      <c r="G931" s="41"/>
      <c r="H931" s="41"/>
      <c r="I931" s="41"/>
      <c r="J931" s="41"/>
      <c r="K931" s="41"/>
      <c r="L931" s="41"/>
      <c r="M931" s="41"/>
      <c r="N931" s="41"/>
    </row>
    <row r="932" spans="2:14" ht="12.75" x14ac:dyDescent="0.2">
      <c r="B932" s="41"/>
      <c r="C932" s="41"/>
      <c r="D932" s="41"/>
      <c r="E932" s="41"/>
      <c r="F932" s="41"/>
      <c r="G932" s="41"/>
      <c r="H932" s="41"/>
      <c r="I932" s="41"/>
      <c r="J932" s="41"/>
      <c r="K932" s="41"/>
      <c r="L932" s="41"/>
      <c r="M932" s="41"/>
      <c r="N932" s="41"/>
    </row>
    <row r="933" spans="2:14" ht="12.75" x14ac:dyDescent="0.2">
      <c r="B933" s="41"/>
      <c r="C933" s="41"/>
      <c r="D933" s="41"/>
      <c r="E933" s="41"/>
      <c r="F933" s="41"/>
      <c r="G933" s="41"/>
      <c r="H933" s="41"/>
      <c r="I933" s="41"/>
      <c r="J933" s="41"/>
      <c r="K933" s="41"/>
      <c r="L933" s="41"/>
      <c r="M933" s="41"/>
      <c r="N933" s="41"/>
    </row>
    <row r="934" spans="2:14" ht="12.75" x14ac:dyDescent="0.2">
      <c r="B934" s="41"/>
      <c r="C934" s="41"/>
      <c r="D934" s="41"/>
      <c r="E934" s="41"/>
      <c r="F934" s="41"/>
      <c r="G934" s="41"/>
      <c r="H934" s="41"/>
      <c r="I934" s="41"/>
      <c r="J934" s="41"/>
      <c r="K934" s="41"/>
      <c r="L934" s="41"/>
      <c r="M934" s="41"/>
      <c r="N934" s="41"/>
    </row>
    <row r="935" spans="2:14" ht="12.75" x14ac:dyDescent="0.2">
      <c r="B935" s="41"/>
      <c r="C935" s="41"/>
      <c r="D935" s="41"/>
      <c r="E935" s="41"/>
      <c r="F935" s="41"/>
      <c r="G935" s="41"/>
      <c r="H935" s="41"/>
      <c r="I935" s="41"/>
      <c r="J935" s="41"/>
      <c r="K935" s="41"/>
      <c r="L935" s="41"/>
      <c r="M935" s="41"/>
      <c r="N935" s="41"/>
    </row>
    <row r="936" spans="2:14" ht="12.75" x14ac:dyDescent="0.2">
      <c r="B936" s="41"/>
      <c r="C936" s="41"/>
      <c r="D936" s="41"/>
      <c r="E936" s="41"/>
      <c r="F936" s="41"/>
      <c r="G936" s="41"/>
      <c r="H936" s="41"/>
      <c r="I936" s="41"/>
      <c r="J936" s="41"/>
      <c r="K936" s="41"/>
      <c r="L936" s="41"/>
      <c r="M936" s="41"/>
      <c r="N936" s="41"/>
    </row>
    <row r="937" spans="2:14" ht="12.75" x14ac:dyDescent="0.2">
      <c r="B937" s="41"/>
      <c r="C937" s="41"/>
      <c r="D937" s="41"/>
      <c r="E937" s="41"/>
      <c r="F937" s="41"/>
      <c r="G937" s="41"/>
      <c r="H937" s="41"/>
      <c r="I937" s="41"/>
      <c r="J937" s="41"/>
      <c r="K937" s="41"/>
      <c r="L937" s="41"/>
      <c r="M937" s="41"/>
      <c r="N937" s="41"/>
    </row>
    <row r="938" spans="2:14" ht="12.75" x14ac:dyDescent="0.2">
      <c r="B938" s="41"/>
      <c r="C938" s="41"/>
      <c r="D938" s="41"/>
      <c r="E938" s="41"/>
      <c r="F938" s="41"/>
      <c r="G938" s="41"/>
      <c r="H938" s="41"/>
      <c r="I938" s="41"/>
      <c r="J938" s="41"/>
      <c r="K938" s="41"/>
      <c r="L938" s="41"/>
      <c r="M938" s="41"/>
      <c r="N938" s="41"/>
    </row>
    <row r="939" spans="2:14" ht="12.75" x14ac:dyDescent="0.2">
      <c r="B939" s="41"/>
      <c r="C939" s="41"/>
      <c r="D939" s="41"/>
      <c r="E939" s="41"/>
      <c r="F939" s="41"/>
      <c r="G939" s="41"/>
      <c r="H939" s="41"/>
      <c r="I939" s="41"/>
      <c r="J939" s="41"/>
      <c r="K939" s="41"/>
      <c r="L939" s="41"/>
      <c r="M939" s="41"/>
      <c r="N939" s="41"/>
    </row>
    <row r="940" spans="2:14" ht="12.75" x14ac:dyDescent="0.2">
      <c r="B940" s="41"/>
      <c r="C940" s="41"/>
      <c r="D940" s="41"/>
      <c r="E940" s="41"/>
      <c r="F940" s="41"/>
      <c r="G940" s="41"/>
      <c r="H940" s="41"/>
      <c r="I940" s="41"/>
      <c r="J940" s="41"/>
      <c r="K940" s="41"/>
      <c r="L940" s="41"/>
      <c r="M940" s="41"/>
      <c r="N940" s="41"/>
    </row>
    <row r="941" spans="2:14" ht="12.75" x14ac:dyDescent="0.2">
      <c r="B941" s="41"/>
      <c r="C941" s="41"/>
      <c r="D941" s="41"/>
      <c r="E941" s="41"/>
      <c r="F941" s="41"/>
      <c r="G941" s="41"/>
      <c r="H941" s="41"/>
      <c r="I941" s="41"/>
      <c r="J941" s="41"/>
      <c r="K941" s="41"/>
      <c r="L941" s="41"/>
      <c r="M941" s="41"/>
      <c r="N941" s="41"/>
    </row>
    <row r="942" spans="2:14" ht="12.75" x14ac:dyDescent="0.2">
      <c r="B942" s="41"/>
      <c r="C942" s="41"/>
      <c r="D942" s="41"/>
      <c r="E942" s="41"/>
      <c r="F942" s="41"/>
      <c r="G942" s="41"/>
      <c r="H942" s="41"/>
      <c r="I942" s="41"/>
      <c r="J942" s="41"/>
      <c r="K942" s="41"/>
      <c r="L942" s="41"/>
      <c r="M942" s="41"/>
      <c r="N942" s="41"/>
    </row>
    <row r="943" spans="2:14" ht="12.75" x14ac:dyDescent="0.2">
      <c r="B943" s="41"/>
      <c r="C943" s="41"/>
      <c r="D943" s="41"/>
      <c r="E943" s="41"/>
      <c r="F943" s="41"/>
      <c r="G943" s="41"/>
      <c r="H943" s="41"/>
      <c r="I943" s="41"/>
      <c r="J943" s="41"/>
      <c r="K943" s="41"/>
      <c r="L943" s="41"/>
      <c r="M943" s="41"/>
      <c r="N943" s="41"/>
    </row>
    <row r="944" spans="2:14" ht="12.75" x14ac:dyDescent="0.2">
      <c r="B944" s="41"/>
      <c r="C944" s="41"/>
      <c r="D944" s="41"/>
      <c r="E944" s="41"/>
      <c r="F944" s="41"/>
      <c r="G944" s="41"/>
      <c r="H944" s="41"/>
      <c r="I944" s="41"/>
      <c r="J944" s="41"/>
      <c r="K944" s="41"/>
      <c r="L944" s="41"/>
      <c r="M944" s="41"/>
      <c r="N944" s="41"/>
    </row>
    <row r="945" spans="2:14" ht="12.75" x14ac:dyDescent="0.2">
      <c r="B945" s="41"/>
      <c r="C945" s="41"/>
      <c r="D945" s="41"/>
      <c r="E945" s="41"/>
      <c r="F945" s="41"/>
      <c r="G945" s="41"/>
      <c r="H945" s="41"/>
      <c r="I945" s="41"/>
      <c r="J945" s="41"/>
      <c r="K945" s="41"/>
      <c r="L945" s="41"/>
      <c r="M945" s="41"/>
      <c r="N945" s="41"/>
    </row>
    <row r="946" spans="2:14" ht="12.75" x14ac:dyDescent="0.2">
      <c r="B946" s="41"/>
      <c r="C946" s="41"/>
      <c r="D946" s="41"/>
      <c r="E946" s="41"/>
      <c r="F946" s="41"/>
      <c r="G946" s="41"/>
      <c r="H946" s="41"/>
      <c r="I946" s="41"/>
      <c r="J946" s="41"/>
      <c r="K946" s="41"/>
      <c r="L946" s="41"/>
      <c r="M946" s="41"/>
      <c r="N946" s="41"/>
    </row>
    <row r="947" spans="2:14" ht="12.75" x14ac:dyDescent="0.2">
      <c r="B947" s="41"/>
      <c r="C947" s="41"/>
      <c r="D947" s="41"/>
      <c r="E947" s="41"/>
      <c r="F947" s="41"/>
      <c r="G947" s="41"/>
      <c r="H947" s="41"/>
      <c r="I947" s="41"/>
      <c r="J947" s="41"/>
      <c r="K947" s="41"/>
      <c r="L947" s="41"/>
      <c r="M947" s="41"/>
      <c r="N947" s="41"/>
    </row>
    <row r="948" spans="2:14" ht="12.75" x14ac:dyDescent="0.2">
      <c r="B948" s="41"/>
      <c r="C948" s="41"/>
      <c r="D948" s="41"/>
      <c r="E948" s="41"/>
      <c r="F948" s="41"/>
      <c r="G948" s="41"/>
      <c r="H948" s="41"/>
      <c r="I948" s="41"/>
      <c r="J948" s="41"/>
      <c r="K948" s="41"/>
      <c r="L948" s="41"/>
      <c r="M948" s="41"/>
      <c r="N948" s="41"/>
    </row>
    <row r="949" spans="2:14" ht="12.75" x14ac:dyDescent="0.2">
      <c r="B949" s="41"/>
      <c r="C949" s="41"/>
      <c r="D949" s="41"/>
      <c r="E949" s="41"/>
      <c r="F949" s="41"/>
      <c r="G949" s="41"/>
      <c r="H949" s="41"/>
      <c r="I949" s="41"/>
      <c r="J949" s="41"/>
      <c r="K949" s="41"/>
      <c r="L949" s="41"/>
      <c r="M949" s="41"/>
      <c r="N949" s="41"/>
    </row>
    <row r="950" spans="2:14" ht="12.75" x14ac:dyDescent="0.2">
      <c r="B950" s="41"/>
      <c r="C950" s="41"/>
      <c r="D950" s="41"/>
      <c r="E950" s="41"/>
      <c r="F950" s="41"/>
      <c r="G950" s="41"/>
      <c r="H950" s="41"/>
      <c r="I950" s="41"/>
      <c r="J950" s="41"/>
      <c r="K950" s="41"/>
      <c r="L950" s="41"/>
      <c r="M950" s="41"/>
      <c r="N950" s="41"/>
    </row>
    <row r="951" spans="2:14" ht="12.75" x14ac:dyDescent="0.2">
      <c r="B951" s="41"/>
      <c r="C951" s="41"/>
      <c r="D951" s="41"/>
      <c r="E951" s="41"/>
      <c r="F951" s="41"/>
      <c r="G951" s="41"/>
      <c r="H951" s="41"/>
      <c r="I951" s="41"/>
      <c r="J951" s="41"/>
      <c r="K951" s="41"/>
      <c r="L951" s="41"/>
      <c r="M951" s="41"/>
      <c r="N951" s="41"/>
    </row>
    <row r="952" spans="2:14" ht="12.75" x14ac:dyDescent="0.2">
      <c r="B952" s="41"/>
      <c r="C952" s="41"/>
      <c r="D952" s="41"/>
      <c r="E952" s="41"/>
      <c r="F952" s="41"/>
      <c r="G952" s="41"/>
      <c r="H952" s="41"/>
      <c r="I952" s="41"/>
      <c r="J952" s="41"/>
      <c r="K952" s="41"/>
      <c r="L952" s="41"/>
      <c r="M952" s="41"/>
      <c r="N952" s="41"/>
    </row>
    <row r="953" spans="2:14" ht="12.75" x14ac:dyDescent="0.2">
      <c r="B953" s="41"/>
      <c r="C953" s="41"/>
      <c r="D953" s="41"/>
      <c r="E953" s="41"/>
      <c r="F953" s="41"/>
      <c r="G953" s="41"/>
      <c r="H953" s="41"/>
      <c r="I953" s="41"/>
      <c r="J953" s="41"/>
      <c r="K953" s="41"/>
      <c r="L953" s="41"/>
      <c r="M953" s="41"/>
      <c r="N953" s="41"/>
    </row>
    <row r="954" spans="2:14" ht="12.75" x14ac:dyDescent="0.2">
      <c r="B954" s="41"/>
      <c r="C954" s="41"/>
      <c r="D954" s="41"/>
      <c r="E954" s="41"/>
      <c r="F954" s="41"/>
      <c r="G954" s="41"/>
      <c r="H954" s="41"/>
      <c r="I954" s="41"/>
      <c r="J954" s="41"/>
      <c r="K954" s="41"/>
      <c r="L954" s="41"/>
      <c r="M954" s="41"/>
      <c r="N954" s="41"/>
    </row>
    <row r="955" spans="2:14" ht="12.75" x14ac:dyDescent="0.2">
      <c r="B955" s="41"/>
      <c r="C955" s="41"/>
      <c r="D955" s="41"/>
      <c r="E955" s="41"/>
      <c r="F955" s="41"/>
      <c r="G955" s="41"/>
      <c r="H955" s="41"/>
      <c r="I955" s="41"/>
      <c r="J955" s="41"/>
      <c r="K955" s="41"/>
      <c r="L955" s="41"/>
      <c r="M955" s="41"/>
      <c r="N955" s="41"/>
    </row>
    <row r="956" spans="2:14" ht="12.75" x14ac:dyDescent="0.2">
      <c r="B956" s="41"/>
      <c r="C956" s="41"/>
      <c r="D956" s="41"/>
      <c r="E956" s="41"/>
      <c r="F956" s="41"/>
      <c r="G956" s="41"/>
      <c r="H956" s="41"/>
      <c r="I956" s="41"/>
      <c r="J956" s="41"/>
      <c r="K956" s="41"/>
      <c r="L956" s="41"/>
      <c r="M956" s="41"/>
      <c r="N956" s="41"/>
    </row>
    <row r="957" spans="2:14" ht="12.75" x14ac:dyDescent="0.2">
      <c r="B957" s="41"/>
      <c r="C957" s="41"/>
      <c r="D957" s="41"/>
      <c r="E957" s="41"/>
      <c r="F957" s="41"/>
      <c r="G957" s="41"/>
      <c r="H957" s="41"/>
      <c r="I957" s="41"/>
      <c r="J957" s="41"/>
      <c r="K957" s="41"/>
      <c r="L957" s="41"/>
      <c r="M957" s="41"/>
      <c r="N957" s="41"/>
    </row>
    <row r="958" spans="2:14" ht="12.75" x14ac:dyDescent="0.2">
      <c r="B958" s="41"/>
      <c r="C958" s="41"/>
      <c r="D958" s="41"/>
      <c r="E958" s="41"/>
      <c r="F958" s="41"/>
      <c r="G958" s="41"/>
      <c r="H958" s="41"/>
      <c r="I958" s="41"/>
      <c r="J958" s="41"/>
      <c r="K958" s="41"/>
      <c r="L958" s="41"/>
      <c r="M958" s="41"/>
      <c r="N958" s="41"/>
    </row>
    <row r="959" spans="2:14" ht="12.75" x14ac:dyDescent="0.2">
      <c r="B959" s="41"/>
      <c r="C959" s="41"/>
      <c r="D959" s="41"/>
      <c r="E959" s="41"/>
      <c r="F959" s="41"/>
      <c r="G959" s="41"/>
      <c r="H959" s="41"/>
      <c r="I959" s="41"/>
      <c r="J959" s="41"/>
      <c r="K959" s="41"/>
      <c r="L959" s="41"/>
      <c r="M959" s="41"/>
      <c r="N959" s="41"/>
    </row>
    <row r="960" spans="2:14" ht="12.75" x14ac:dyDescent="0.2">
      <c r="B960" s="41"/>
      <c r="C960" s="41"/>
      <c r="D960" s="41"/>
      <c r="E960" s="41"/>
      <c r="F960" s="41"/>
      <c r="G960" s="41"/>
      <c r="H960" s="41"/>
      <c r="I960" s="41"/>
      <c r="J960" s="41"/>
      <c r="K960" s="41"/>
      <c r="L960" s="41"/>
      <c r="M960" s="41"/>
      <c r="N960" s="41"/>
    </row>
    <row r="961" spans="2:14" ht="12.75" x14ac:dyDescent="0.2">
      <c r="B961" s="41"/>
      <c r="C961" s="41"/>
      <c r="D961" s="41"/>
      <c r="E961" s="41"/>
      <c r="F961" s="41"/>
      <c r="G961" s="41"/>
      <c r="H961" s="41"/>
      <c r="I961" s="41"/>
      <c r="J961" s="41"/>
      <c r="K961" s="41"/>
      <c r="L961" s="41"/>
      <c r="M961" s="41"/>
      <c r="N961" s="41"/>
    </row>
    <row r="962" spans="2:14" ht="12.75" x14ac:dyDescent="0.2">
      <c r="B962" s="41"/>
      <c r="C962" s="41"/>
      <c r="D962" s="41"/>
      <c r="E962" s="41"/>
      <c r="F962" s="41"/>
      <c r="G962" s="41"/>
      <c r="H962" s="41"/>
      <c r="I962" s="41"/>
      <c r="J962" s="41"/>
      <c r="K962" s="41"/>
      <c r="L962" s="41"/>
      <c r="M962" s="41"/>
      <c r="N962" s="41"/>
    </row>
    <row r="963" spans="2:14" ht="12.75" x14ac:dyDescent="0.2">
      <c r="B963" s="41"/>
      <c r="C963" s="41"/>
      <c r="D963" s="41"/>
      <c r="E963" s="41"/>
      <c r="F963" s="41"/>
      <c r="G963" s="41"/>
      <c r="H963" s="41"/>
      <c r="I963" s="41"/>
      <c r="J963" s="41"/>
      <c r="K963" s="41"/>
      <c r="L963" s="41"/>
      <c r="M963" s="41"/>
      <c r="N963" s="41"/>
    </row>
    <row r="964" spans="2:14" ht="12.75" x14ac:dyDescent="0.2">
      <c r="B964" s="41"/>
      <c r="C964" s="41"/>
      <c r="D964" s="41"/>
      <c r="E964" s="41"/>
      <c r="F964" s="41"/>
      <c r="G964" s="41"/>
      <c r="H964" s="41"/>
      <c r="I964" s="41"/>
      <c r="J964" s="41"/>
      <c r="K964" s="41"/>
      <c r="L964" s="41"/>
      <c r="M964" s="41"/>
      <c r="N964" s="41"/>
    </row>
    <row r="965" spans="2:14" ht="12.75" x14ac:dyDescent="0.2">
      <c r="B965" s="41"/>
      <c r="C965" s="41"/>
      <c r="D965" s="41"/>
      <c r="E965" s="41"/>
      <c r="F965" s="41"/>
      <c r="G965" s="41"/>
      <c r="H965" s="41"/>
      <c r="I965" s="41"/>
      <c r="J965" s="41"/>
      <c r="K965" s="41"/>
      <c r="L965" s="41"/>
      <c r="M965" s="41"/>
      <c r="N965" s="41"/>
    </row>
    <row r="966" spans="2:14" ht="12.75" x14ac:dyDescent="0.2">
      <c r="B966" s="41"/>
      <c r="C966" s="41"/>
      <c r="D966" s="41"/>
      <c r="E966" s="41"/>
      <c r="F966" s="41"/>
      <c r="G966" s="41"/>
      <c r="H966" s="41"/>
      <c r="I966" s="41"/>
      <c r="J966" s="41"/>
      <c r="K966" s="41"/>
      <c r="L966" s="41"/>
      <c r="M966" s="41"/>
      <c r="N966" s="41"/>
    </row>
    <row r="967" spans="2:14" ht="12.75" x14ac:dyDescent="0.2">
      <c r="B967" s="41"/>
      <c r="C967" s="41"/>
      <c r="D967" s="41"/>
      <c r="E967" s="41"/>
      <c r="F967" s="41"/>
      <c r="G967" s="41"/>
      <c r="H967" s="41"/>
      <c r="I967" s="41"/>
      <c r="J967" s="41"/>
      <c r="K967" s="41"/>
      <c r="L967" s="41"/>
      <c r="M967" s="41"/>
      <c r="N967" s="41"/>
    </row>
    <row r="968" spans="2:14" ht="12.75" x14ac:dyDescent="0.2">
      <c r="B968" s="41"/>
      <c r="C968" s="41"/>
      <c r="D968" s="41"/>
      <c r="E968" s="41"/>
      <c r="F968" s="41"/>
      <c r="G968" s="41"/>
      <c r="H968" s="41"/>
      <c r="I968" s="41"/>
      <c r="J968" s="41"/>
      <c r="K968" s="41"/>
      <c r="L968" s="41"/>
      <c r="M968" s="41"/>
      <c r="N968" s="41"/>
    </row>
    <row r="969" spans="2:14" ht="12.75" x14ac:dyDescent="0.2">
      <c r="B969" s="41"/>
      <c r="C969" s="41"/>
      <c r="D969" s="41"/>
      <c r="E969" s="41"/>
      <c r="F969" s="41"/>
      <c r="G969" s="41"/>
      <c r="H969" s="41"/>
      <c r="I969" s="41"/>
      <c r="J969" s="41"/>
      <c r="K969" s="41"/>
      <c r="L969" s="41"/>
      <c r="M969" s="41"/>
      <c r="N969" s="41"/>
    </row>
    <row r="970" spans="2:14" ht="15" customHeight="1" x14ac:dyDescent="0.2">
      <c r="B970" s="41"/>
      <c r="C970" s="41"/>
      <c r="D970" s="41"/>
    </row>
  </sheetData>
  <autoFilter ref="B5:Q34"/>
  <conditionalFormatting sqref="M6:N36">
    <cfRule type="cellIs" dxfId="36" priority="1" operator="equal">
      <formula>"NON"</formula>
    </cfRule>
    <cfRule type="cellIs" dxfId="35" priority="2" operator="equal">
      <formula>"OUI"</formula>
    </cfRule>
  </conditionalFormatting>
  <hyperlinks>
    <hyperlink ref="F3" r:id="rId1" display="https://twitter.com/dronolab"/>
    <hyperlink ref="G12" r:id="rId2" display="mailto:vincent.pozzuoli@gmail.com"/>
    <hyperlink ref="G15" r:id="rId3" display="mailto:hollman-camilo.lozano-suarez.1@etsmtl.net"/>
    <hyperlink ref="G17" r:id="rId4" display="mailto:gabriel_lab@live.com"/>
    <hyperlink ref="G18" r:id="rId5" display="mailto:ppoirier88@gmail.com"/>
    <hyperlink ref="G19" r:id="rId6" display="mailto:pierre.bonzel@gmail.com"/>
    <hyperlink ref="G20" r:id="rId7" display="mailto:archambault.massaki@gmail.com"/>
    <hyperlink ref="G21" r:id="rId8" display="mailto:a.chettibi@hotmail.com"/>
    <hyperlink ref="G22" r:id="rId9" display="mailto:richerlariviere@gmail.com"/>
    <hyperlink ref="G28" r:id="rId10"/>
    <hyperlink ref="G27" r:id="rId11"/>
    <hyperlink ref="G30" r:id="rId12"/>
    <hyperlink ref="G31" r:id="rId13"/>
    <hyperlink ref="G32" r:id="rId14"/>
    <hyperlink ref="G33" r:id="rId15"/>
    <hyperlink ref="G26" r:id="rId16"/>
    <hyperlink ref="G25" r:id="rId17"/>
    <hyperlink ref="G35" r:id="rId18"/>
    <hyperlink ref="G34" r:id="rId19"/>
  </hyperlinks>
  <pageMargins left="0.7" right="0.7" top="0.75" bottom="0.75" header="0.3" footer="0.3"/>
  <pageSetup orientation="portrait" r:id="rId20"/>
  <drawing r:id="rId2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FFC000"/>
  </sheetPr>
  <dimension ref="A1:AD56"/>
  <sheetViews>
    <sheetView zoomScaleNormal="100" workbookViewId="0">
      <selection activeCell="C52" sqref="C52"/>
    </sheetView>
  </sheetViews>
  <sheetFormatPr baseColWidth="10" defaultRowHeight="15" x14ac:dyDescent="0.25"/>
  <cols>
    <col min="1" max="1" width="22.85546875" customWidth="1"/>
    <col min="2" max="2" width="16.85546875" bestFit="1" customWidth="1"/>
    <col min="3" max="3" width="19.140625" customWidth="1"/>
    <col min="4" max="4" width="7.7109375" bestFit="1" customWidth="1"/>
    <col min="5" max="5" width="23" customWidth="1"/>
    <col min="6" max="6" width="23.5703125" customWidth="1"/>
    <col min="7" max="7" width="22.42578125" bestFit="1" customWidth="1"/>
    <col min="8" max="8" width="17.85546875" customWidth="1"/>
    <col min="9" max="9" width="2.85546875" customWidth="1"/>
    <col min="10" max="10" width="24.42578125" bestFit="1" customWidth="1"/>
    <col min="13" max="14" width="11.42578125" style="61"/>
  </cols>
  <sheetData>
    <row r="1" spans="1:14" x14ac:dyDescent="0.25">
      <c r="A1" s="161" t="s">
        <v>274</v>
      </c>
      <c r="B1" s="55"/>
      <c r="G1" s="163" t="s">
        <v>243</v>
      </c>
      <c r="H1" s="210"/>
      <c r="I1" s="68">
        <v>1</v>
      </c>
      <c r="J1" s="58" t="s">
        <v>251</v>
      </c>
      <c r="K1" s="55"/>
    </row>
    <row r="2" spans="1:14" x14ac:dyDescent="0.25">
      <c r="A2" s="161" t="s">
        <v>244</v>
      </c>
      <c r="B2" s="210"/>
      <c r="G2" s="163" t="s">
        <v>279</v>
      </c>
      <c r="H2" s="215"/>
      <c r="I2" s="68">
        <f t="shared" ref="I2:I31" si="0">I1+1</f>
        <v>2</v>
      </c>
      <c r="J2" s="58" t="s">
        <v>248</v>
      </c>
      <c r="K2" s="55"/>
    </row>
    <row r="3" spans="1:14" x14ac:dyDescent="0.25">
      <c r="A3" s="161" t="s">
        <v>13</v>
      </c>
      <c r="B3" s="210"/>
      <c r="G3" s="163" t="s">
        <v>280</v>
      </c>
      <c r="H3" s="215"/>
      <c r="I3" s="68">
        <f t="shared" si="0"/>
        <v>3</v>
      </c>
      <c r="J3" s="58" t="s">
        <v>252</v>
      </c>
      <c r="K3" s="55"/>
    </row>
    <row r="4" spans="1:14" x14ac:dyDescent="0.25">
      <c r="A4" s="161" t="s">
        <v>257</v>
      </c>
      <c r="B4" s="52">
        <v>0</v>
      </c>
      <c r="G4" s="163" t="s">
        <v>241</v>
      </c>
      <c r="H4" s="215"/>
      <c r="I4" s="68">
        <f t="shared" si="0"/>
        <v>4</v>
      </c>
      <c r="J4" s="58" t="s">
        <v>253</v>
      </c>
      <c r="K4" s="55"/>
    </row>
    <row r="5" spans="1:14" x14ac:dyDescent="0.25">
      <c r="G5" s="163" t="s">
        <v>242</v>
      </c>
      <c r="H5" s="215"/>
      <c r="I5" s="68">
        <f t="shared" si="0"/>
        <v>5</v>
      </c>
      <c r="J5" s="58" t="s">
        <v>16</v>
      </c>
      <c r="K5" s="55"/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G6" s="163" t="s">
        <v>245</v>
      </c>
      <c r="H6" s="201"/>
      <c r="I6" s="68">
        <f t="shared" si="0"/>
        <v>6</v>
      </c>
      <c r="J6" s="58" t="s">
        <v>277</v>
      </c>
      <c r="K6" s="55"/>
    </row>
    <row r="7" spans="1:14" x14ac:dyDescent="0.25">
      <c r="A7" s="209"/>
      <c r="B7" s="164"/>
      <c r="C7" s="210"/>
      <c r="D7" s="60" t="str">
        <f>IF(ISBLANK(C7),"",VLOOKUP(C7,Bilan!$F$6:$G$25,2,FALSE))</f>
        <v/>
      </c>
      <c r="E7" s="65"/>
      <c r="F7" s="65"/>
      <c r="G7" s="163" t="s">
        <v>246</v>
      </c>
      <c r="H7" s="201"/>
      <c r="I7" s="68">
        <f t="shared" si="0"/>
        <v>7</v>
      </c>
      <c r="J7" s="58" t="s">
        <v>254</v>
      </c>
      <c r="K7" s="55"/>
      <c r="N7" s="61" t="s">
        <v>356</v>
      </c>
    </row>
    <row r="8" spans="1:14" x14ac:dyDescent="0.25">
      <c r="A8" s="209"/>
      <c r="B8" s="164"/>
      <c r="C8" s="210"/>
      <c r="D8" s="60" t="str">
        <f>IF(ISBLANK(C8),"",VLOOKUP(C8,Bilan!$F$6:$G$25,2,FALSE))</f>
        <v/>
      </c>
      <c r="E8" s="65"/>
      <c r="F8" s="65"/>
      <c r="G8" s="163" t="s">
        <v>273</v>
      </c>
      <c r="H8" s="201"/>
      <c r="I8" s="68">
        <f t="shared" si="0"/>
        <v>8</v>
      </c>
      <c r="J8" s="58" t="s">
        <v>255</v>
      </c>
      <c r="K8" s="55"/>
      <c r="N8" s="61" t="s">
        <v>356</v>
      </c>
    </row>
    <row r="9" spans="1:14" x14ac:dyDescent="0.25">
      <c r="A9" s="210"/>
      <c r="B9" s="52"/>
      <c r="C9" s="210"/>
      <c r="D9" s="60" t="str">
        <f>IF(ISBLANK(C9),"",VLOOKUP(C9,Bilan!$F$6:$G$25,2,FALSE))</f>
        <v/>
      </c>
      <c r="E9" s="65"/>
      <c r="F9" s="65"/>
      <c r="G9" s="163" t="s">
        <v>247</v>
      </c>
      <c r="H9" s="210"/>
      <c r="I9" s="68">
        <f t="shared" si="0"/>
        <v>9</v>
      </c>
      <c r="J9" s="58" t="s">
        <v>256</v>
      </c>
      <c r="K9" s="55"/>
      <c r="N9" s="61" t="s">
        <v>356</v>
      </c>
    </row>
    <row r="10" spans="1:14" x14ac:dyDescent="0.25">
      <c r="A10" s="210"/>
      <c r="B10" s="52"/>
      <c r="C10" s="210"/>
      <c r="D10" s="60" t="str">
        <f>IF(ISBLANK(C10),"",VLOOKUP(C10,Bilan!$F$6:$G$25,2,FALSE))</f>
        <v/>
      </c>
      <c r="E10" s="65"/>
      <c r="F10" s="65"/>
      <c r="I10" s="68">
        <f t="shared" si="0"/>
        <v>10</v>
      </c>
      <c r="J10" s="58" t="s">
        <v>258</v>
      </c>
      <c r="K10" s="55"/>
      <c r="N10" s="61" t="s">
        <v>356</v>
      </c>
    </row>
    <row r="11" spans="1:14" x14ac:dyDescent="0.25">
      <c r="A11" s="210"/>
      <c r="B11" s="52"/>
      <c r="C11" s="210"/>
      <c r="D11" s="60" t="str">
        <f>IF(ISBLANK(C11),"",VLOOKUP(C11,Bilan!$F$6:$G$25,2,FALSE))</f>
        <v/>
      </c>
      <c r="E11" s="65"/>
      <c r="F11" s="65"/>
      <c r="I11" s="68">
        <f t="shared" si="0"/>
        <v>11</v>
      </c>
      <c r="J11" s="58" t="s">
        <v>259</v>
      </c>
      <c r="K11" s="55"/>
      <c r="N11" s="61" t="s">
        <v>356</v>
      </c>
    </row>
    <row r="12" spans="1:14" x14ac:dyDescent="0.25">
      <c r="A12" s="210"/>
      <c r="B12" s="52"/>
      <c r="C12" s="210"/>
      <c r="D12" s="60" t="str">
        <f>IF(ISBLANK(C12),"",VLOOKUP(C12,Bilan!$F$6:$G$25,2,FALSE))</f>
        <v/>
      </c>
      <c r="E12" s="65"/>
      <c r="F12" s="65"/>
      <c r="I12" s="68">
        <f t="shared" si="0"/>
        <v>12</v>
      </c>
      <c r="J12" s="58" t="s">
        <v>260</v>
      </c>
      <c r="K12" s="55"/>
      <c r="N12" s="61" t="s">
        <v>356</v>
      </c>
    </row>
    <row r="13" spans="1:14" x14ac:dyDescent="0.25">
      <c r="A13" s="210"/>
      <c r="B13" s="52"/>
      <c r="C13" s="210"/>
      <c r="D13" s="55" t="str">
        <f>IF(ISBLANK(C13),"",VLOOKUP(C13,Bilan!$F$6:$G$25,2,FALSE))</f>
        <v/>
      </c>
      <c r="E13" s="65"/>
      <c r="F13" s="65"/>
      <c r="I13" s="68">
        <f t="shared" si="0"/>
        <v>13</v>
      </c>
      <c r="J13" s="58" t="s">
        <v>249</v>
      </c>
      <c r="K13" s="55"/>
      <c r="N13" s="61" t="s">
        <v>356</v>
      </c>
    </row>
    <row r="14" spans="1:14" ht="15.75" thickBot="1" x14ac:dyDescent="0.3">
      <c r="A14" s="211"/>
      <c r="B14" s="190"/>
      <c r="C14" s="211"/>
      <c r="D14" s="191" t="str">
        <f>IF(ISBLANK(C14),"",VLOOKUP(C14,Bilan!$F$6:$G$25,2,FALSE))</f>
        <v/>
      </c>
      <c r="E14" s="192"/>
      <c r="F14" s="192"/>
      <c r="I14" s="68">
        <f t="shared" si="0"/>
        <v>14</v>
      </c>
      <c r="J14" s="58" t="s">
        <v>17</v>
      </c>
      <c r="K14" s="55"/>
      <c r="N14" s="61" t="s">
        <v>356</v>
      </c>
    </row>
    <row r="15" spans="1:14" ht="15.75" thickTop="1" x14ac:dyDescent="0.25">
      <c r="A15" s="212"/>
      <c r="B15" s="53"/>
      <c r="C15" s="212"/>
      <c r="D15" s="56" t="str">
        <f>IF(ISBLANK(C15),"",VLOOKUP(C15,Bilan!$F$6:$G$25,2,FALSE))</f>
        <v/>
      </c>
      <c r="E15" s="66"/>
      <c r="F15" s="66"/>
      <c r="I15" s="68">
        <f t="shared" si="0"/>
        <v>15</v>
      </c>
      <c r="J15" s="58" t="s">
        <v>261</v>
      </c>
      <c r="K15" s="55"/>
      <c r="N15" s="61" t="s">
        <v>356</v>
      </c>
    </row>
    <row r="16" spans="1:14" x14ac:dyDescent="0.25">
      <c r="A16" s="210"/>
      <c r="B16" s="52"/>
      <c r="C16" s="210"/>
      <c r="D16" s="55" t="str">
        <f>IF(ISBLANK(C16),"",VLOOKUP(C16,Bilan!$F$6:$G$25,2,FALSE))</f>
        <v/>
      </c>
      <c r="E16" s="65"/>
      <c r="F16" s="65"/>
      <c r="I16" s="68">
        <f t="shared" si="0"/>
        <v>16</v>
      </c>
      <c r="J16" s="58" t="s">
        <v>250</v>
      </c>
      <c r="K16" s="55"/>
      <c r="N16" s="61" t="s">
        <v>356</v>
      </c>
    </row>
    <row r="17" spans="1:30" x14ac:dyDescent="0.25">
      <c r="A17" s="210"/>
      <c r="B17" s="52"/>
      <c r="C17" s="210"/>
      <c r="D17" s="55" t="str">
        <f>IF(ISBLANK(C17),"",VLOOKUP(C17,Bilan!$F$6:$G$25,2,FALSE))</f>
        <v/>
      </c>
      <c r="E17" s="65"/>
      <c r="F17" s="65"/>
      <c r="I17" s="68">
        <f t="shared" si="0"/>
        <v>17</v>
      </c>
      <c r="J17" s="58" t="s">
        <v>14</v>
      </c>
      <c r="K17" s="55"/>
      <c r="N17" s="61" t="s">
        <v>356</v>
      </c>
    </row>
    <row r="18" spans="1:30" x14ac:dyDescent="0.25">
      <c r="A18" s="210"/>
      <c r="B18" s="52"/>
      <c r="C18" s="210"/>
      <c r="D18" s="55" t="str">
        <f>IF(ISBLANK(C18),"",VLOOKUP(C18,Bilan!$F$6:$G$25,2,FALSE))</f>
        <v/>
      </c>
      <c r="E18" s="65"/>
      <c r="F18" s="65"/>
      <c r="G18" s="49"/>
      <c r="H18" s="49"/>
      <c r="I18" s="68">
        <f t="shared" si="0"/>
        <v>18</v>
      </c>
      <c r="J18" s="58" t="s">
        <v>262</v>
      </c>
      <c r="K18" s="59"/>
      <c r="L18" s="49"/>
      <c r="N18" s="61" t="s">
        <v>356</v>
      </c>
      <c r="O18" s="50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s="49" customFormat="1" x14ac:dyDescent="0.25">
      <c r="A19" s="210"/>
      <c r="B19" s="52"/>
      <c r="C19" s="210"/>
      <c r="D19" s="55" t="str">
        <f>IF(ISBLANK(C19),"",VLOOKUP(C19,Bilan!$F$6:$G$25,2,FALSE))</f>
        <v/>
      </c>
      <c r="E19" s="65"/>
      <c r="F19" s="65"/>
      <c r="G19"/>
      <c r="H19"/>
      <c r="I19" s="68">
        <f t="shared" si="0"/>
        <v>19</v>
      </c>
      <c r="J19" s="58" t="s">
        <v>263</v>
      </c>
      <c r="K19" s="59">
        <f>SUMIFS(B7:B31,D7:D31,K24)</f>
        <v>0</v>
      </c>
      <c r="L19"/>
      <c r="M19" s="61"/>
      <c r="N19" s="62" t="s">
        <v>356</v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49" customFormat="1" x14ac:dyDescent="0.25">
      <c r="A20" s="210"/>
      <c r="B20" s="52"/>
      <c r="C20" s="210"/>
      <c r="D20" s="55" t="str">
        <f>IF(ISBLANK(C20),"",VLOOKUP(C20,Bilan!$F$6:$G$25,2,FALSE))</f>
        <v/>
      </c>
      <c r="E20" s="65"/>
      <c r="F20" s="65"/>
      <c r="G20"/>
      <c r="H20"/>
      <c r="I20" s="68">
        <f t="shared" si="0"/>
        <v>20</v>
      </c>
      <c r="J20" s="58" t="s">
        <v>264</v>
      </c>
      <c r="K20" s="59">
        <f>SUMIFS(B7:B31,D7:D31,K25)</f>
        <v>0</v>
      </c>
      <c r="L20"/>
      <c r="M20" s="61"/>
      <c r="N20" s="62" t="s">
        <v>356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x14ac:dyDescent="0.25">
      <c r="A21" s="210"/>
      <c r="B21" s="52"/>
      <c r="C21" s="210"/>
      <c r="D21" s="55" t="str">
        <f>IF(ISBLANK(C21),"",VLOOKUP(C21,Bilan!$F$6:$G$25,2,FALSE))</f>
        <v/>
      </c>
      <c r="E21" s="65"/>
      <c r="F21" s="65"/>
      <c r="I21" s="68">
        <f t="shared" si="0"/>
        <v>21</v>
      </c>
      <c r="J21" s="58" t="s">
        <v>265</v>
      </c>
      <c r="K21" s="59">
        <f>SUMIFS(B7:B31,D7:D31,K26)</f>
        <v>0</v>
      </c>
      <c r="N21" s="61" t="s">
        <v>356</v>
      </c>
    </row>
    <row r="22" spans="1:30" x14ac:dyDescent="0.25">
      <c r="A22" s="210"/>
      <c r="B22" s="52"/>
      <c r="C22" s="210"/>
      <c r="D22" s="55" t="str">
        <f>IF(ISBLANK(C22),"",VLOOKUP(C22,Bilan!$F$6:$G$25,2,FALSE))</f>
        <v/>
      </c>
      <c r="E22" s="65"/>
      <c r="F22" s="65"/>
      <c r="I22" s="68">
        <f t="shared" si="0"/>
        <v>22</v>
      </c>
      <c r="J22" s="58" t="s">
        <v>266</v>
      </c>
      <c r="K22" s="59">
        <f>SUMIFS(B7:B31,D7:D31,K27)</f>
        <v>0</v>
      </c>
      <c r="N22" s="61" t="s">
        <v>356</v>
      </c>
    </row>
    <row r="23" spans="1:30" x14ac:dyDescent="0.25">
      <c r="A23" s="210"/>
      <c r="B23" s="52"/>
      <c r="C23" s="210"/>
      <c r="D23" s="55" t="str">
        <f>IF(ISBLANK(C23),"",VLOOKUP(C23,Bilan!$F$6:$G$25,2,FALSE))</f>
        <v/>
      </c>
      <c r="E23" s="65"/>
      <c r="F23" s="65"/>
      <c r="I23" s="68">
        <f t="shared" si="0"/>
        <v>23</v>
      </c>
      <c r="J23" s="58" t="s">
        <v>267</v>
      </c>
      <c r="K23" s="59">
        <f>SUMIFS(B7:B31,D7:D31,K28)</f>
        <v>0</v>
      </c>
      <c r="N23" s="61" t="s">
        <v>356</v>
      </c>
    </row>
    <row r="24" spans="1:30" x14ac:dyDescent="0.25">
      <c r="A24" s="210"/>
      <c r="B24" s="52"/>
      <c r="C24" s="210"/>
      <c r="D24" s="55" t="str">
        <f>IF(ISBLANK(C24),"",VLOOKUP(C24,Bilan!$F$6:$G$25,2,FALSE))</f>
        <v/>
      </c>
      <c r="E24" s="65"/>
      <c r="F24" s="65"/>
      <c r="I24" s="68">
        <f t="shared" si="0"/>
        <v>24</v>
      </c>
      <c r="J24" s="58" t="s">
        <v>268</v>
      </c>
      <c r="K24" s="55" t="str">
        <f>IF(ISERROR(VLOOKUP(1,M7:N31,2,FALSE))," ",VLOOKUP(1,M7:N31,2,FALSE))</f>
        <v xml:space="preserve"> </v>
      </c>
      <c r="N24" s="61" t="s">
        <v>356</v>
      </c>
    </row>
    <row r="25" spans="1:30" x14ac:dyDescent="0.25">
      <c r="A25" s="210"/>
      <c r="B25" s="52"/>
      <c r="C25" s="210"/>
      <c r="D25" s="55" t="str">
        <f>IF(ISBLANK(C25),"",VLOOKUP(C25,Bilan!$F$6:$G$25,2,FALSE))</f>
        <v/>
      </c>
      <c r="E25" s="65"/>
      <c r="F25" s="65"/>
      <c r="I25" s="68">
        <f t="shared" si="0"/>
        <v>25</v>
      </c>
      <c r="J25" s="58" t="s">
        <v>269</v>
      </c>
      <c r="K25" s="55" t="str">
        <f>IF(ISERROR(VLOOKUP(2,M7:N31,2,FALSE))," ",VLOOKUP(2,M7:N31,2,FALSE))</f>
        <v xml:space="preserve"> </v>
      </c>
      <c r="N25" s="61" t="s">
        <v>356</v>
      </c>
    </row>
    <row r="26" spans="1:30" x14ac:dyDescent="0.25">
      <c r="A26" s="210"/>
      <c r="B26" s="52"/>
      <c r="C26" s="210"/>
      <c r="D26" s="55" t="str">
        <f>IF(ISBLANK(C26),"",VLOOKUP(C26,Bilan!$F$6:$G$25,2,FALSE))</f>
        <v/>
      </c>
      <c r="E26" s="65"/>
      <c r="F26" s="65"/>
      <c r="I26" s="68">
        <f t="shared" si="0"/>
        <v>26</v>
      </c>
      <c r="J26" s="58" t="s">
        <v>270</v>
      </c>
      <c r="K26" s="55" t="str">
        <f>IF(ISERROR(VLOOKUP(3,M7:N31,2,FALSE))," ",VLOOKUP(3,M7:N31,2,FALSE))</f>
        <v xml:space="preserve"> </v>
      </c>
      <c r="N26" s="61" t="s">
        <v>356</v>
      </c>
    </row>
    <row r="27" spans="1:30" x14ac:dyDescent="0.25">
      <c r="A27" s="210"/>
      <c r="B27" s="52"/>
      <c r="C27" s="210"/>
      <c r="D27" s="55" t="str">
        <f>IF(ISBLANK(C27),"",VLOOKUP(C27,Bilan!$F$6:$G$25,2,FALSE))</f>
        <v/>
      </c>
      <c r="E27" s="65"/>
      <c r="F27" s="65"/>
      <c r="I27" s="68">
        <f t="shared" si="0"/>
        <v>27</v>
      </c>
      <c r="J27" s="58" t="s">
        <v>271</v>
      </c>
      <c r="K27" s="55" t="str">
        <f>IF(ISERROR(VLOOKUP(4,M7:N31,2,FALSE))," ",VLOOKUP(4,M7:N31,2,FALSE))</f>
        <v xml:space="preserve"> </v>
      </c>
      <c r="N27" s="61" t="s">
        <v>356</v>
      </c>
    </row>
    <row r="28" spans="1:30" x14ac:dyDescent="0.25">
      <c r="A28" s="210"/>
      <c r="B28" s="52"/>
      <c r="C28" s="210"/>
      <c r="D28" s="55" t="str">
        <f>IF(ISBLANK(C28),"",VLOOKUP(C28,Bilan!$F$6:$G$25,2,FALSE))</f>
        <v/>
      </c>
      <c r="E28" s="65"/>
      <c r="F28" s="65"/>
      <c r="I28" s="68">
        <f t="shared" si="0"/>
        <v>28</v>
      </c>
      <c r="J28" s="58" t="s">
        <v>272</v>
      </c>
      <c r="K28" s="55" t="str">
        <f>IF(ISERROR(VLOOKUP(5,M7:N31,2,FALSE))," ",VLOOKUP(5,M7:N31,2,FALSE))</f>
        <v xml:space="preserve"> </v>
      </c>
      <c r="N28" s="61" t="s">
        <v>356</v>
      </c>
    </row>
    <row r="29" spans="1:30" x14ac:dyDescent="0.25">
      <c r="A29" s="210"/>
      <c r="B29" s="52"/>
      <c r="C29" s="210"/>
      <c r="D29" s="55" t="str">
        <f>IF(ISBLANK(C29),"",VLOOKUP(C29,Bilan!$F$6:$G$25,2,FALSE))</f>
        <v/>
      </c>
      <c r="E29" s="65"/>
      <c r="F29" s="65"/>
      <c r="I29" s="68">
        <f t="shared" si="0"/>
        <v>29</v>
      </c>
      <c r="J29" s="58" t="s">
        <v>19</v>
      </c>
      <c r="K29" s="55"/>
      <c r="N29" s="61" t="s">
        <v>356</v>
      </c>
    </row>
    <row r="30" spans="1:30" x14ac:dyDescent="0.25">
      <c r="A30" s="210"/>
      <c r="B30" s="52"/>
      <c r="C30" s="210"/>
      <c r="D30" s="55" t="str">
        <f>IF(ISBLANK(C30),"",VLOOKUP(C30,Bilan!$F$6:$G$25,2,FALSE))</f>
        <v/>
      </c>
      <c r="E30" s="65"/>
      <c r="F30" s="65"/>
      <c r="I30" s="68">
        <f t="shared" si="0"/>
        <v>30</v>
      </c>
      <c r="J30" s="58" t="s">
        <v>275</v>
      </c>
      <c r="K30" s="55"/>
      <c r="N30" s="61" t="s">
        <v>356</v>
      </c>
    </row>
    <row r="31" spans="1:30" x14ac:dyDescent="0.25">
      <c r="A31" s="210"/>
      <c r="B31" s="48"/>
      <c r="C31" s="210"/>
      <c r="D31" s="58" t="str">
        <f>IF(ISBLANK(C31),"",VLOOKUP(C31,Bilan!$F$6:$G$25,2,FALSE))</f>
        <v/>
      </c>
      <c r="E31" s="65"/>
      <c r="F31" s="65"/>
      <c r="I31" s="68">
        <f t="shared" si="0"/>
        <v>31</v>
      </c>
      <c r="J31" s="58" t="s">
        <v>276</v>
      </c>
      <c r="K31" s="55"/>
      <c r="N31" s="61" t="s">
        <v>356</v>
      </c>
    </row>
    <row r="32" spans="1:30" x14ac:dyDescent="0.25">
      <c r="A32" s="210"/>
      <c r="B32" s="48"/>
      <c r="C32" s="210"/>
      <c r="D32" s="58" t="str">
        <f>IF(ISBLANK(C32),"",VLOOKUP(C32,Bilan!$F$6:$G$25,2,FALSE))</f>
        <v/>
      </c>
      <c r="E32" s="65"/>
      <c r="F32" s="65"/>
    </row>
    <row r="33" spans="1:6" x14ac:dyDescent="0.25">
      <c r="A33" s="210"/>
      <c r="B33" s="48"/>
      <c r="C33" s="210"/>
      <c r="D33" s="58" t="str">
        <f>IF(ISBLANK(C33),"",VLOOKUP(C33,Bilan!$F$6:$G$25,2,FALSE))</f>
        <v/>
      </c>
      <c r="E33" s="65"/>
      <c r="F33" s="65"/>
    </row>
    <row r="34" spans="1:6" x14ac:dyDescent="0.25">
      <c r="A34" s="210"/>
      <c r="B34" s="48"/>
      <c r="C34" s="210"/>
      <c r="D34" s="58" t="str">
        <f>IF(ISBLANK(C34),"",VLOOKUP(C34,Bilan!$F$6:$G$25,2,FALSE))</f>
        <v/>
      </c>
      <c r="E34" s="65"/>
      <c r="F34" s="65"/>
    </row>
    <row r="35" spans="1:6" x14ac:dyDescent="0.25">
      <c r="A35" s="210"/>
      <c r="B35" s="48"/>
      <c r="C35" s="210"/>
      <c r="D35" s="58" t="str">
        <f>IF(ISBLANK(C35),"",VLOOKUP(C35,Bilan!$F$6:$G$25,2,FALSE))</f>
        <v/>
      </c>
      <c r="E35" s="65"/>
      <c r="F35" s="65"/>
    </row>
    <row r="36" spans="1:6" x14ac:dyDescent="0.25">
      <c r="A36" s="210"/>
      <c r="B36" s="48"/>
      <c r="C36" s="210"/>
      <c r="D36" s="58" t="str">
        <f>IF(ISBLANK(C36),"",VLOOKUP(C36,Bilan!$F$6:$G$25,2,FALSE))</f>
        <v/>
      </c>
      <c r="E36" s="65"/>
      <c r="F36" s="65"/>
    </row>
    <row r="37" spans="1:6" x14ac:dyDescent="0.25">
      <c r="A37" s="210"/>
      <c r="B37" s="48"/>
      <c r="C37" s="210"/>
      <c r="D37" s="58" t="str">
        <f>IF(ISBLANK(C37),"",VLOOKUP(C37,Bilan!$F$6:$G$25,2,FALSE))</f>
        <v/>
      </c>
      <c r="E37" s="65"/>
      <c r="F37" s="65"/>
    </row>
    <row r="38" spans="1:6" x14ac:dyDescent="0.25">
      <c r="A38" s="210"/>
      <c r="B38" s="48"/>
      <c r="C38" s="210"/>
      <c r="D38" s="58" t="str">
        <f>IF(ISBLANK(C38),"",VLOOKUP(C38,Bilan!$F$6:$G$25,2,FALSE))</f>
        <v/>
      </c>
      <c r="E38" s="65"/>
      <c r="F38" s="65"/>
    </row>
    <row r="39" spans="1:6" x14ac:dyDescent="0.25">
      <c r="A39" s="210"/>
      <c r="B39" s="48"/>
      <c r="C39" s="210"/>
      <c r="D39" s="58" t="str">
        <f>IF(ISBLANK(C39),"",VLOOKUP(C39,Bilan!$F$6:$G$25,2,FALSE))</f>
        <v/>
      </c>
      <c r="E39" s="65"/>
      <c r="F39" s="65"/>
    </row>
    <row r="40" spans="1:6" x14ac:dyDescent="0.25">
      <c r="A40" s="210"/>
      <c r="B40" s="48"/>
      <c r="C40" s="210"/>
      <c r="D40" s="58" t="str">
        <f>IF(ISBLANK(C40),"",VLOOKUP(C40,Bilan!$F$6:$G$25,2,FALSE))</f>
        <v/>
      </c>
      <c r="E40" s="65"/>
      <c r="F40" s="65"/>
    </row>
    <row r="41" spans="1:6" x14ac:dyDescent="0.25">
      <c r="A41" s="210"/>
      <c r="B41" s="48"/>
      <c r="C41" s="210"/>
      <c r="D41" s="58" t="str">
        <f>IF(ISBLANK(C41),"",VLOOKUP(C41,Bilan!$F$6:$G$25,2,FALSE))</f>
        <v/>
      </c>
      <c r="E41" s="65"/>
      <c r="F41" s="65"/>
    </row>
    <row r="42" spans="1:6" x14ac:dyDescent="0.25">
      <c r="A42" s="210"/>
      <c r="B42" s="48"/>
      <c r="C42" s="210"/>
      <c r="D42" s="58" t="str">
        <f>IF(ISBLANK(C42),"",VLOOKUP(C42,Bilan!$F$6:$G$25,2,FALSE))</f>
        <v/>
      </c>
      <c r="E42" s="65"/>
      <c r="F42" s="65"/>
    </row>
    <row r="43" spans="1:6" x14ac:dyDescent="0.25">
      <c r="A43" s="210"/>
      <c r="B43" s="48"/>
      <c r="C43" s="210"/>
      <c r="D43" s="58" t="str">
        <f>IF(ISBLANK(C43),"",VLOOKUP(C43,Bilan!$F$6:$G$25,2,FALSE))</f>
        <v/>
      </c>
      <c r="E43" s="65"/>
      <c r="F43" s="65"/>
    </row>
    <row r="44" spans="1:6" x14ac:dyDescent="0.25">
      <c r="A44" s="210"/>
      <c r="B44" s="48"/>
      <c r="C44" s="210"/>
      <c r="D44" s="58" t="str">
        <f>IF(ISBLANK(C44),"",VLOOKUP(C44,Bilan!$F$6:$G$25,2,FALSE))</f>
        <v/>
      </c>
      <c r="E44" s="65"/>
      <c r="F44" s="65"/>
    </row>
    <row r="45" spans="1:6" x14ac:dyDescent="0.25">
      <c r="A45" s="210"/>
      <c r="B45" s="48"/>
      <c r="C45" s="210"/>
      <c r="D45" s="58" t="str">
        <f>IF(ISBLANK(C45),"",VLOOKUP(C45,Bilan!$F$6:$G$25,2,FALSE))</f>
        <v/>
      </c>
      <c r="E45" s="65"/>
      <c r="F45" s="65"/>
    </row>
    <row r="46" spans="1:6" x14ac:dyDescent="0.25">
      <c r="A46" s="210"/>
      <c r="B46" s="48"/>
      <c r="C46" s="210"/>
      <c r="D46" s="58" t="str">
        <f>IF(ISBLANK(C46),"",VLOOKUP(C46,Bilan!$F$6:$G$25,2,FALSE))</f>
        <v/>
      </c>
      <c r="E46" s="65"/>
      <c r="F46" s="65"/>
    </row>
    <row r="47" spans="1:6" x14ac:dyDescent="0.25">
      <c r="A47" s="210"/>
      <c r="B47" s="48"/>
      <c r="C47" s="210"/>
      <c r="D47" s="58" t="str">
        <f>IF(ISBLANK(C47),"",VLOOKUP(C47,Bilan!$F$6:$G$25,2,FALSE))</f>
        <v/>
      </c>
      <c r="E47" s="65"/>
      <c r="F47" s="65"/>
    </row>
    <row r="48" spans="1:6" x14ac:dyDescent="0.25">
      <c r="A48" s="210"/>
      <c r="B48" s="48"/>
      <c r="C48" s="210"/>
      <c r="D48" s="58" t="str">
        <f>IF(ISBLANK(C48),"",VLOOKUP(C48,Bilan!$F$6:$G$25,2,FALSE))</f>
        <v/>
      </c>
      <c r="E48" s="65"/>
      <c r="F48" s="65"/>
    </row>
    <row r="49" spans="1:6" x14ac:dyDescent="0.25">
      <c r="A49" s="210"/>
      <c r="B49" s="48"/>
      <c r="C49" s="210"/>
      <c r="D49" s="58" t="str">
        <f>IF(ISBLANK(C49),"",VLOOKUP(C49,Bilan!$F$6:$G$25,2,FALSE))</f>
        <v/>
      </c>
      <c r="E49" s="65"/>
      <c r="F49" s="65"/>
    </row>
    <row r="50" spans="1:6" x14ac:dyDescent="0.25">
      <c r="A50" s="210"/>
      <c r="B50" s="48"/>
      <c r="C50" s="210"/>
      <c r="D50" s="58" t="str">
        <f>IF(ISBLANK(C50),"",VLOOKUP(C50,Bilan!$F$6:$G$25,2,FALSE))</f>
        <v/>
      </c>
      <c r="E50" s="65"/>
      <c r="F50" s="65"/>
    </row>
    <row r="51" spans="1:6" x14ac:dyDescent="0.25">
      <c r="A51" s="210"/>
      <c r="B51" s="48"/>
      <c r="C51" s="210"/>
      <c r="D51" s="58" t="str">
        <f>IF(ISBLANK(C51),"",VLOOKUP(C51,Bilan!$F$6:$G$25,2,FALSE))</f>
        <v/>
      </c>
      <c r="E51" s="65"/>
      <c r="F51" s="65"/>
    </row>
    <row r="52" spans="1:6" x14ac:dyDescent="0.25">
      <c r="A52" s="210"/>
      <c r="B52" s="48"/>
      <c r="C52" s="210"/>
      <c r="D52" s="58" t="str">
        <f>IF(ISBLANK(C52),"",VLOOKUP(C52,Bilan!$F$6:$G$25,2,FALSE))</f>
        <v/>
      </c>
      <c r="E52" s="65"/>
      <c r="F52" s="65"/>
    </row>
    <row r="53" spans="1:6" x14ac:dyDescent="0.25">
      <c r="A53" s="210"/>
      <c r="B53" s="48"/>
      <c r="C53" s="210"/>
      <c r="D53" s="58" t="str">
        <f>IF(ISBLANK(C53),"",VLOOKUP(C53,Bilan!$F$6:$G$25,2,FALSE))</f>
        <v/>
      </c>
      <c r="E53" s="65"/>
      <c r="F53" s="65"/>
    </row>
    <row r="54" spans="1:6" x14ac:dyDescent="0.25">
      <c r="A54" s="210"/>
      <c r="B54" s="48"/>
      <c r="C54" s="210"/>
      <c r="D54" s="58" t="str">
        <f>IF(ISBLANK(C54),"",VLOOKUP(C54,Bilan!$F$6:$G$25,2,FALSE))</f>
        <v/>
      </c>
      <c r="E54" s="65"/>
      <c r="F54" s="65"/>
    </row>
    <row r="55" spans="1:6" x14ac:dyDescent="0.25">
      <c r="A55" s="210"/>
      <c r="B55" s="48"/>
      <c r="C55" s="210"/>
      <c r="D55" s="58" t="str">
        <f>IF(ISBLANK(C55),"",VLOOKUP(C55,Bilan!$F$6:$G$25,2,FALSE))</f>
        <v/>
      </c>
      <c r="E55" s="65"/>
      <c r="F55" s="65"/>
    </row>
    <row r="56" spans="1:6" x14ac:dyDescent="0.25">
      <c r="A56" s="210"/>
      <c r="B56" s="48"/>
      <c r="C56" s="210"/>
      <c r="D56" s="58" t="str">
        <f>IF(ISBLANK(C56),"",VLOOKUP(C56,Bilan!$F$6:$G$25,2,FALSE))</f>
        <v/>
      </c>
      <c r="E56" s="65"/>
      <c r="F56" s="65"/>
    </row>
  </sheetData>
  <sheetProtection password="C736" sheet="1" objects="1" scenarios="1"/>
  <sortState ref="N7:N31">
    <sortCondition ref="N7"/>
  </sortState>
  <dataValidations count="2">
    <dataValidation type="list" allowBlank="1" showInputMessage="1" showErrorMessage="1" sqref="E7:E56">
      <formula1>groupe</formula1>
    </dataValidation>
    <dataValidation type="list" allowBlank="1" showInputMessage="1" showErrorMessage="1" sqref="F7:F56">
      <formula1>INDIRECT(E7)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Bilan!$F$6:$F$19</xm:f>
          </x14:formula1>
          <xm:sqref>C7:C14</xm:sqref>
        </x14:dataValidation>
        <x14:dataValidation type="list" allowBlank="1" showInputMessage="1" showErrorMessage="1">
          <x14:formula1>
            <xm:f>Membres!$A$6:$A$41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0"/>
  <dimension ref="A1:N58"/>
  <sheetViews>
    <sheetView tabSelected="1" workbookViewId="0">
      <selection activeCell="E11" sqref="E11"/>
    </sheetView>
  </sheetViews>
  <sheetFormatPr baseColWidth="10" defaultRowHeight="15" x14ac:dyDescent="0.25"/>
  <cols>
    <col min="1" max="1" width="41" bestFit="1" customWidth="1"/>
    <col min="2" max="2" width="16.85546875" bestFit="1" customWidth="1"/>
    <col min="3" max="3" width="19.140625" customWidth="1"/>
    <col min="4" max="4" width="7.7109375" bestFit="1" customWidth="1"/>
    <col min="5" max="5" width="16.140625" customWidth="1"/>
    <col min="6" max="6" width="23.5703125" customWidth="1"/>
    <col min="7" max="7" width="22.42578125" bestFit="1" customWidth="1"/>
    <col min="8" max="8" width="17.85546875" customWidth="1"/>
    <col min="9" max="9" width="2.85546875" customWidth="1"/>
    <col min="10" max="10" width="24.42578125" bestFit="1" customWidth="1"/>
    <col min="11" max="11" width="24.85546875" bestFit="1" customWidth="1"/>
  </cols>
  <sheetData>
    <row r="1" spans="1:14" x14ac:dyDescent="0.25">
      <c r="A1" s="161" t="s">
        <v>274</v>
      </c>
      <c r="B1" s="55" t="s">
        <v>487</v>
      </c>
      <c r="G1" s="163" t="s">
        <v>243</v>
      </c>
      <c r="H1" s="51" t="s">
        <v>490</v>
      </c>
      <c r="I1" s="68">
        <v>1</v>
      </c>
      <c r="J1" s="58" t="s">
        <v>251</v>
      </c>
      <c r="K1" s="55" t="str">
        <f>VLOOKUP(B2,Membres!A6:R200,3,FALSE)</f>
        <v>Richer</v>
      </c>
    </row>
    <row r="2" spans="1:14" x14ac:dyDescent="0.25">
      <c r="A2" s="161" t="s">
        <v>244</v>
      </c>
      <c r="B2" s="210" t="s">
        <v>488</v>
      </c>
      <c r="G2" s="163" t="s">
        <v>279</v>
      </c>
      <c r="H2" s="54">
        <v>42527</v>
      </c>
      <c r="I2" s="68">
        <f t="shared" ref="I2:I31" si="0">I1+1</f>
        <v>2</v>
      </c>
      <c r="J2" s="58" t="s">
        <v>248</v>
      </c>
      <c r="K2" s="55" t="str">
        <f>VLOOKUP(B2,Membres!A6:R200,2,FALSE)</f>
        <v>Larivière</v>
      </c>
    </row>
    <row r="3" spans="1:14" x14ac:dyDescent="0.25">
      <c r="A3" s="161" t="s">
        <v>13</v>
      </c>
      <c r="B3" s="210" t="s">
        <v>489</v>
      </c>
      <c r="G3" s="163" t="s">
        <v>280</v>
      </c>
      <c r="H3" s="54">
        <v>42539</v>
      </c>
      <c r="I3" s="68">
        <f t="shared" si="0"/>
        <v>3</v>
      </c>
      <c r="J3" s="58" t="s">
        <v>252</v>
      </c>
      <c r="K3" s="55" t="s">
        <v>484</v>
      </c>
    </row>
    <row r="4" spans="1:14" x14ac:dyDescent="0.25">
      <c r="A4" s="161" t="s">
        <v>257</v>
      </c>
      <c r="B4" s="52">
        <v>0</v>
      </c>
      <c r="G4" s="163" t="s">
        <v>241</v>
      </c>
      <c r="H4" s="54">
        <v>42535</v>
      </c>
      <c r="I4" s="68">
        <f t="shared" si="0"/>
        <v>4</v>
      </c>
      <c r="J4" s="58" t="s">
        <v>253</v>
      </c>
      <c r="K4" s="55" t="str">
        <f>VLOOKUP(B2,Membres!A6:R200,4,FALSE)</f>
        <v>LARR07109400</v>
      </c>
    </row>
    <row r="5" spans="1:14" x14ac:dyDescent="0.25">
      <c r="G5" s="163" t="s">
        <v>242</v>
      </c>
      <c r="H5" s="54">
        <v>42542</v>
      </c>
      <c r="I5" s="68">
        <f t="shared" si="0"/>
        <v>5</v>
      </c>
      <c r="J5" s="58" t="s">
        <v>16</v>
      </c>
      <c r="K5" s="57">
        <v>42649</v>
      </c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G6" s="163" t="s">
        <v>245</v>
      </c>
      <c r="H6" s="206"/>
      <c r="I6" s="68">
        <f t="shared" si="0"/>
        <v>6</v>
      </c>
      <c r="J6" s="58" t="s">
        <v>277</v>
      </c>
      <c r="K6" s="55" t="str">
        <f>VLOOKUP(B2,Membres!A6:R200,6,FALSE)</f>
        <v>(438) 827-4242</v>
      </c>
    </row>
    <row r="7" spans="1:14" x14ac:dyDescent="0.25">
      <c r="A7" s="209" t="s">
        <v>492</v>
      </c>
      <c r="B7" s="164">
        <v>101.73</v>
      </c>
      <c r="C7" s="210" t="s">
        <v>3</v>
      </c>
      <c r="D7" s="60">
        <f>IF(ISBLANK(C7),"",VLOOKUP(C7,Bilan!$F$6:$G$25,2,FALSE))</f>
        <v>53021</v>
      </c>
      <c r="E7" s="65" t="s">
        <v>357</v>
      </c>
      <c r="F7" s="65" t="s">
        <v>336</v>
      </c>
      <c r="G7" s="163" t="s">
        <v>246</v>
      </c>
      <c r="H7" s="206"/>
      <c r="I7" s="68">
        <f t="shared" si="0"/>
        <v>7</v>
      </c>
      <c r="J7" s="58" t="s">
        <v>254</v>
      </c>
      <c r="K7" s="55" t="s">
        <v>155</v>
      </c>
      <c r="M7" s="203">
        <f>1</f>
        <v>1</v>
      </c>
      <c r="N7" s="203">
        <v>53021</v>
      </c>
    </row>
    <row r="8" spans="1:14" x14ac:dyDescent="0.25">
      <c r="A8" s="218" t="s">
        <v>493</v>
      </c>
      <c r="B8" s="195">
        <v>49.01</v>
      </c>
      <c r="C8" s="201" t="s">
        <v>3</v>
      </c>
      <c r="D8" s="60">
        <f>IF(ISBLANK(C8),"",VLOOKUP(C8,Bilan!$F$6:$G$25,2,FALSE))</f>
        <v>53021</v>
      </c>
      <c r="E8" s="201" t="s">
        <v>357</v>
      </c>
      <c r="F8" s="201" t="s">
        <v>336</v>
      </c>
      <c r="G8" s="163" t="s">
        <v>273</v>
      </c>
      <c r="H8" s="206" t="s">
        <v>491</v>
      </c>
      <c r="I8" s="68">
        <f t="shared" si="0"/>
        <v>8</v>
      </c>
      <c r="J8" s="58" t="s">
        <v>255</v>
      </c>
      <c r="K8" s="55" t="s">
        <v>485</v>
      </c>
      <c r="M8" s="203">
        <f>IF(N8=N7,M7,M7+1)</f>
        <v>1</v>
      </c>
      <c r="N8" s="203">
        <v>53021</v>
      </c>
    </row>
    <row r="9" spans="1:14" x14ac:dyDescent="0.25">
      <c r="A9" s="201" t="s">
        <v>494</v>
      </c>
      <c r="B9" s="196">
        <v>120.73</v>
      </c>
      <c r="C9" s="201" t="s">
        <v>3</v>
      </c>
      <c r="D9" s="60">
        <f>IF(ISBLANK(C9),"",VLOOKUP(C9,Bilan!$F$6:$G$25,2,FALSE))</f>
        <v>53021</v>
      </c>
      <c r="E9" s="201" t="s">
        <v>357</v>
      </c>
      <c r="F9" s="201" t="s">
        <v>336</v>
      </c>
      <c r="G9" s="163" t="s">
        <v>247</v>
      </c>
      <c r="H9" s="51">
        <v>1000</v>
      </c>
      <c r="I9" s="68">
        <f t="shared" si="0"/>
        <v>9</v>
      </c>
      <c r="J9" s="58" t="s">
        <v>256</v>
      </c>
      <c r="K9" s="193">
        <f>K18-B4</f>
        <v>582.76</v>
      </c>
      <c r="M9" s="203">
        <f t="shared" ref="M9:M15" si="1">IF(N9=N8,M8,M8+1)</f>
        <v>1</v>
      </c>
      <c r="N9" s="203">
        <v>53021</v>
      </c>
    </row>
    <row r="10" spans="1:14" x14ac:dyDescent="0.25">
      <c r="A10" s="201" t="s">
        <v>495</v>
      </c>
      <c r="B10" s="196">
        <v>181.44</v>
      </c>
      <c r="C10" s="201" t="s">
        <v>3</v>
      </c>
      <c r="D10" s="60">
        <f>IF(ISBLANK(C10),"",VLOOKUP(C10,Bilan!$F$6:$G$25,2,FALSE))</f>
        <v>53021</v>
      </c>
      <c r="E10" s="201" t="s">
        <v>357</v>
      </c>
      <c r="F10" s="201" t="s">
        <v>336</v>
      </c>
      <c r="I10" s="68">
        <f t="shared" si="0"/>
        <v>10</v>
      </c>
      <c r="J10" s="58" t="s">
        <v>258</v>
      </c>
      <c r="K10" s="55" t="str">
        <f>B2</f>
        <v>Richer Larivière</v>
      </c>
      <c r="M10" s="203">
        <f t="shared" si="1"/>
        <v>1</v>
      </c>
      <c r="N10" s="203">
        <v>53021</v>
      </c>
    </row>
    <row r="11" spans="1:14" x14ac:dyDescent="0.25">
      <c r="A11" s="201" t="s">
        <v>496</v>
      </c>
      <c r="B11" s="196">
        <v>19.77</v>
      </c>
      <c r="C11" s="201" t="s">
        <v>3</v>
      </c>
      <c r="D11" s="60">
        <f>IF(ISBLANK(C11),"",VLOOKUP(C11,Bilan!$F$6:$G$25,2,FALSE))</f>
        <v>53021</v>
      </c>
      <c r="E11" s="201" t="s">
        <v>357</v>
      </c>
      <c r="F11" s="201" t="s">
        <v>336</v>
      </c>
      <c r="I11" s="68">
        <f t="shared" si="0"/>
        <v>11</v>
      </c>
      <c r="J11" s="58" t="s">
        <v>259</v>
      </c>
      <c r="K11" s="55"/>
      <c r="M11" s="203">
        <f t="shared" si="1"/>
        <v>1</v>
      </c>
      <c r="N11" s="203">
        <v>53021</v>
      </c>
    </row>
    <row r="12" spans="1:14" x14ac:dyDescent="0.25">
      <c r="A12" s="201" t="s">
        <v>497</v>
      </c>
      <c r="B12" s="196">
        <v>10.48</v>
      </c>
      <c r="C12" s="201" t="s">
        <v>4</v>
      </c>
      <c r="D12" s="60">
        <f>IF(ISBLANK(C12),"",VLOOKUP(C12,Bilan!$F$6:$G$25,2,FALSE))</f>
        <v>53111</v>
      </c>
      <c r="E12" s="201" t="s">
        <v>357</v>
      </c>
      <c r="F12" s="201" t="s">
        <v>300</v>
      </c>
      <c r="I12" s="68">
        <f t="shared" si="0"/>
        <v>12</v>
      </c>
      <c r="J12" s="58" t="s">
        <v>260</v>
      </c>
      <c r="K12" s="55"/>
      <c r="M12" s="203">
        <f t="shared" si="1"/>
        <v>1</v>
      </c>
      <c r="N12" s="203">
        <v>53021</v>
      </c>
    </row>
    <row r="13" spans="1:14" x14ac:dyDescent="0.25">
      <c r="A13" s="201" t="s">
        <v>498</v>
      </c>
      <c r="B13" s="196">
        <v>63.55</v>
      </c>
      <c r="C13" s="201" t="s">
        <v>3</v>
      </c>
      <c r="D13" s="55">
        <f>IF(ISBLANK(C13),"",VLOOKUP(C13,Bilan!$F$6:$G$25,2,FALSE))</f>
        <v>53021</v>
      </c>
      <c r="E13" s="201" t="s">
        <v>357</v>
      </c>
      <c r="F13" s="201" t="s">
        <v>336</v>
      </c>
      <c r="I13" s="68">
        <f t="shared" si="0"/>
        <v>13</v>
      </c>
      <c r="J13" s="58" t="s">
        <v>249</v>
      </c>
      <c r="K13" s="55">
        <f>VLOOKUP(B2,Membres!A6:R200,8,FALSE)</f>
        <v>0</v>
      </c>
      <c r="M13" s="203">
        <f t="shared" si="1"/>
        <v>1</v>
      </c>
      <c r="N13" s="203">
        <v>53021</v>
      </c>
    </row>
    <row r="14" spans="1:14" ht="15.75" thickBot="1" x14ac:dyDescent="0.3">
      <c r="A14" s="216" t="s">
        <v>499</v>
      </c>
      <c r="B14" s="197">
        <v>24.05</v>
      </c>
      <c r="C14" s="216" t="s">
        <v>3</v>
      </c>
      <c r="D14" s="191">
        <f>IF(ISBLANK(C14),"",VLOOKUP(C14,Bilan!$F$6:$G$25,2,FALSE))</f>
        <v>53021</v>
      </c>
      <c r="E14" s="201" t="s">
        <v>357</v>
      </c>
      <c r="F14" s="201" t="s">
        <v>336</v>
      </c>
      <c r="I14" s="68">
        <f t="shared" si="0"/>
        <v>14</v>
      </c>
      <c r="J14" s="58" t="s">
        <v>17</v>
      </c>
      <c r="K14" s="55" t="str">
        <f>VLOOKUP(B2,Membres!A6:R200,11,FALSE)</f>
        <v>Qc</v>
      </c>
      <c r="M14" s="203">
        <f t="shared" si="1"/>
        <v>2</v>
      </c>
      <c r="N14" s="203">
        <v>53111</v>
      </c>
    </row>
    <row r="15" spans="1:14" ht="15.75" thickTop="1" x14ac:dyDescent="0.25">
      <c r="A15" s="202" t="s">
        <v>500</v>
      </c>
      <c r="B15" s="198">
        <v>12</v>
      </c>
      <c r="C15" s="202" t="s">
        <v>4</v>
      </c>
      <c r="D15" s="56">
        <f>IF(ISBLANK(C15),"",VLOOKUP(C15,Bilan!$F$6:$G$25,2,FALSE))</f>
        <v>53111</v>
      </c>
      <c r="E15" s="201" t="s">
        <v>357</v>
      </c>
      <c r="F15" s="202" t="s">
        <v>330</v>
      </c>
      <c r="I15" s="68">
        <f t="shared" si="0"/>
        <v>15</v>
      </c>
      <c r="J15" s="58" t="s">
        <v>261</v>
      </c>
      <c r="K15" s="55">
        <f>VLOOKUP(B2,Membres!A6:R200,10,FALSE)</f>
        <v>0</v>
      </c>
      <c r="M15" s="203">
        <f t="shared" si="1"/>
        <v>2</v>
      </c>
      <c r="N15" s="203">
        <v>53111</v>
      </c>
    </row>
    <row r="16" spans="1:14" x14ac:dyDescent="0.25">
      <c r="A16" s="194"/>
      <c r="B16" s="196"/>
      <c r="C16" s="194"/>
      <c r="D16" s="55" t="str">
        <f>IF(ISBLANK(C16),"",VLOOKUP(C16,Bilan!$F$6:$G$25,2,FALSE))</f>
        <v/>
      </c>
      <c r="E16" s="201"/>
      <c r="F16" s="201"/>
      <c r="I16" s="68">
        <f t="shared" si="0"/>
        <v>16</v>
      </c>
      <c r="J16" s="58" t="s">
        <v>250</v>
      </c>
      <c r="K16" s="55" t="str">
        <f>VLOOKUP(B2,Membres!A6:R200,9,FALSE)</f>
        <v>Joliette (Lanaudière)</v>
      </c>
      <c r="M16" s="203"/>
      <c r="N16" s="203"/>
    </row>
    <row r="17" spans="1:14" x14ac:dyDescent="0.25">
      <c r="A17" s="194"/>
      <c r="B17" s="196"/>
      <c r="C17" s="194"/>
      <c r="D17" s="55" t="str">
        <f>IF(ISBLANK(C17),"",VLOOKUP(C17,Bilan!$F$6:$G$25,2,FALSE))</f>
        <v/>
      </c>
      <c r="E17" s="201"/>
      <c r="F17" s="201"/>
      <c r="I17" s="68">
        <f t="shared" si="0"/>
        <v>17</v>
      </c>
      <c r="J17" s="58" t="s">
        <v>14</v>
      </c>
      <c r="K17" s="55" t="str">
        <f>VLOOKUP(B2,Membres!A6:R200,7,FALSE)</f>
        <v>richerlariviere@gmail.com</v>
      </c>
      <c r="M17" s="203"/>
      <c r="N17" s="203"/>
    </row>
    <row r="18" spans="1:14" x14ac:dyDescent="0.25">
      <c r="A18" s="194"/>
      <c r="B18" s="196"/>
      <c r="C18" s="194"/>
      <c r="D18" s="57" t="str">
        <f>IF(ISBLANK(C18),"",VLOOKUP(C18,Bilan!$F$6:$G$25,2,FALSE))</f>
        <v/>
      </c>
      <c r="E18" s="201"/>
      <c r="F18" s="201"/>
      <c r="G18" s="49"/>
      <c r="H18" s="49"/>
      <c r="I18" s="68">
        <f t="shared" si="0"/>
        <v>18</v>
      </c>
      <c r="J18" s="58" t="s">
        <v>262</v>
      </c>
      <c r="K18" s="59">
        <f>SUM(B7:B100)</f>
        <v>582.76</v>
      </c>
      <c r="M18" s="203"/>
      <c r="N18" s="203"/>
    </row>
    <row r="19" spans="1:14" x14ac:dyDescent="0.25">
      <c r="A19" s="194"/>
      <c r="B19" s="196"/>
      <c r="C19" s="194"/>
      <c r="D19" s="55" t="str">
        <f>IF(ISBLANK(C19),"",VLOOKUP(C19,Bilan!$F$6:$G$25,2,FALSE))</f>
        <v/>
      </c>
      <c r="E19" s="201"/>
      <c r="F19" s="201"/>
      <c r="I19" s="68">
        <f t="shared" si="0"/>
        <v>19</v>
      </c>
      <c r="J19" s="58" t="s">
        <v>263</v>
      </c>
      <c r="K19" s="59">
        <f>SUMIFS(B7:B58,D7:D58,K24)</f>
        <v>560.28</v>
      </c>
      <c r="M19" s="203"/>
      <c r="N19" s="203"/>
    </row>
    <row r="20" spans="1:14" x14ac:dyDescent="0.25">
      <c r="A20" s="194"/>
      <c r="B20" s="196"/>
      <c r="C20" s="194"/>
      <c r="D20" s="55" t="str">
        <f>IF(ISBLANK(C20),"",VLOOKUP(C20,Bilan!$F$6:$G$25,2,FALSE))</f>
        <v/>
      </c>
      <c r="E20" s="201"/>
      <c r="F20" s="201"/>
      <c r="I20" s="68">
        <f t="shared" si="0"/>
        <v>20</v>
      </c>
      <c r="J20" s="58" t="s">
        <v>264</v>
      </c>
      <c r="K20" s="59">
        <f>SUMIFS(B7:B58,D7:D58,K25)</f>
        <v>22.48</v>
      </c>
      <c r="M20" s="203"/>
      <c r="N20" s="203"/>
    </row>
    <row r="21" spans="1:14" x14ac:dyDescent="0.25">
      <c r="A21" s="194"/>
      <c r="B21" s="196"/>
      <c r="C21" s="194"/>
      <c r="D21" s="55" t="str">
        <f>IF(ISBLANK(C21),"",VLOOKUP(C21,Bilan!$F$6:$G$25,2,FALSE))</f>
        <v/>
      </c>
      <c r="E21" s="201"/>
      <c r="F21" s="201"/>
      <c r="I21" s="68">
        <f t="shared" si="0"/>
        <v>21</v>
      </c>
      <c r="J21" s="58" t="s">
        <v>265</v>
      </c>
      <c r="K21" s="59">
        <f>SUMIFS(B7:B58,D7:D58,K26)</f>
        <v>0</v>
      </c>
      <c r="M21" s="203"/>
      <c r="N21" s="203"/>
    </row>
    <row r="22" spans="1:14" x14ac:dyDescent="0.25">
      <c r="A22" s="194"/>
      <c r="B22" s="196"/>
      <c r="C22" s="194"/>
      <c r="D22" s="55" t="str">
        <f>IF(ISBLANK(C22),"",VLOOKUP(C22,Bilan!$F$6:$G$25,2,FALSE))</f>
        <v/>
      </c>
      <c r="E22" s="201"/>
      <c r="F22" s="201"/>
      <c r="I22" s="68">
        <f t="shared" si="0"/>
        <v>22</v>
      </c>
      <c r="J22" s="58" t="s">
        <v>266</v>
      </c>
      <c r="K22" s="59">
        <f>SUMIFS(B7:B58,D7:D58,K27)</f>
        <v>0</v>
      </c>
      <c r="M22" s="203"/>
      <c r="N22" s="203"/>
    </row>
    <row r="23" spans="1:14" x14ac:dyDescent="0.25">
      <c r="A23" s="194"/>
      <c r="B23" s="196"/>
      <c r="C23" s="194"/>
      <c r="D23" s="55" t="str">
        <f>IF(ISBLANK(C23),"",VLOOKUP(C23,Bilan!$F$6:$G$25,2,FALSE))</f>
        <v/>
      </c>
      <c r="E23" s="201"/>
      <c r="F23" s="201"/>
      <c r="I23" s="68">
        <f t="shared" si="0"/>
        <v>23</v>
      </c>
      <c r="J23" s="58" t="s">
        <v>267</v>
      </c>
      <c r="K23" s="59">
        <f>SUMIFS(B7:B58,D7:D58,K28)</f>
        <v>0</v>
      </c>
      <c r="M23" s="203"/>
      <c r="N23" s="203"/>
    </row>
    <row r="24" spans="1:14" x14ac:dyDescent="0.25">
      <c r="A24" s="194"/>
      <c r="B24" s="196"/>
      <c r="C24" s="194"/>
      <c r="D24" s="55" t="str">
        <f>IF(ISBLANK(C24),"",VLOOKUP(C24,Bilan!$F$6:$G$25,2,FALSE))</f>
        <v/>
      </c>
      <c r="E24" s="201"/>
      <c r="F24" s="201"/>
      <c r="I24" s="68">
        <f t="shared" si="0"/>
        <v>24</v>
      </c>
      <c r="J24" s="58" t="s">
        <v>268</v>
      </c>
      <c r="K24" s="55">
        <f>IF(ISERROR(VLOOKUP(1,M7:N58,2,FALSE))," ",VLOOKUP(1,M7:N58,2,FALSE))</f>
        <v>53021</v>
      </c>
      <c r="M24" s="203"/>
      <c r="N24" s="203"/>
    </row>
    <row r="25" spans="1:14" x14ac:dyDescent="0.25">
      <c r="A25" s="194"/>
      <c r="B25" s="196"/>
      <c r="C25" s="194"/>
      <c r="D25" s="55" t="str">
        <f>IF(ISBLANK(C25),"",VLOOKUP(C25,Bilan!$F$6:$G$25,2,FALSE))</f>
        <v/>
      </c>
      <c r="E25" s="201"/>
      <c r="F25" s="201"/>
      <c r="I25" s="68">
        <f t="shared" si="0"/>
        <v>25</v>
      </c>
      <c r="J25" s="58" t="s">
        <v>269</v>
      </c>
      <c r="K25" s="55">
        <f>IF(ISERROR(VLOOKUP(2,M7:N58,2,FALSE))," ",VLOOKUP(2,M7:N58,2,FALSE))</f>
        <v>53111</v>
      </c>
      <c r="M25" s="203"/>
      <c r="N25" s="203"/>
    </row>
    <row r="26" spans="1:14" x14ac:dyDescent="0.25">
      <c r="A26" s="194"/>
      <c r="B26" s="196"/>
      <c r="C26" s="194"/>
      <c r="D26" s="55" t="str">
        <f>IF(ISBLANK(C26),"",VLOOKUP(C26,Bilan!$F$6:$G$25,2,FALSE))</f>
        <v/>
      </c>
      <c r="E26" s="201"/>
      <c r="F26" s="201"/>
      <c r="I26" s="68">
        <f t="shared" si="0"/>
        <v>26</v>
      </c>
      <c r="J26" s="58" t="s">
        <v>270</v>
      </c>
      <c r="K26" s="55" t="str">
        <f>IF(ISERROR(VLOOKUP(3,M7:N58,2,FALSE))," ",VLOOKUP(3,M7:N58,2,FALSE))</f>
        <v xml:space="preserve"> </v>
      </c>
      <c r="M26" s="203"/>
      <c r="N26" s="203"/>
    </row>
    <row r="27" spans="1:14" x14ac:dyDescent="0.25">
      <c r="A27" s="194"/>
      <c r="B27" s="196"/>
      <c r="C27" s="194"/>
      <c r="D27" s="55" t="str">
        <f>IF(ISBLANK(C27),"",VLOOKUP(C27,Bilan!$F$6:$G$25,2,FALSE))</f>
        <v/>
      </c>
      <c r="E27" s="201"/>
      <c r="F27" s="201"/>
      <c r="I27" s="68">
        <f t="shared" si="0"/>
        <v>27</v>
      </c>
      <c r="J27" s="58" t="s">
        <v>271</v>
      </c>
      <c r="K27" s="55" t="str">
        <f>IF(ISERROR(VLOOKUP(4,M7:N58,2,FALSE))," ",VLOOKUP(4,M7:N58,2,FALSE))</f>
        <v xml:space="preserve"> </v>
      </c>
      <c r="M27" s="203"/>
      <c r="N27" s="203"/>
    </row>
    <row r="28" spans="1:14" x14ac:dyDescent="0.25">
      <c r="A28" s="194"/>
      <c r="B28" s="196"/>
      <c r="C28" s="194"/>
      <c r="D28" s="55" t="str">
        <f>IF(ISBLANK(C28),"",VLOOKUP(C28,Bilan!$F$6:$G$25,2,FALSE))</f>
        <v/>
      </c>
      <c r="E28" s="201"/>
      <c r="F28" s="201"/>
      <c r="I28" s="68">
        <f t="shared" si="0"/>
        <v>28</v>
      </c>
      <c r="J28" s="58" t="s">
        <v>272</v>
      </c>
      <c r="K28" s="55" t="str">
        <f>IF(ISERROR(VLOOKUP(5,M7:N58,2,FALSE))," ",VLOOKUP(5,M7:N58,2,FALSE))</f>
        <v xml:space="preserve"> </v>
      </c>
      <c r="M28" s="203"/>
      <c r="N28" s="203"/>
    </row>
    <row r="29" spans="1:14" x14ac:dyDescent="0.25">
      <c r="A29" s="194"/>
      <c r="B29" s="196"/>
      <c r="C29" s="194"/>
      <c r="D29" s="55" t="str">
        <f>IF(ISBLANK(C29),"",VLOOKUP(C29,Bilan!$F$6:$G$25,2,FALSE))</f>
        <v/>
      </c>
      <c r="E29" s="201"/>
      <c r="F29" s="201"/>
      <c r="I29" s="68">
        <f t="shared" si="0"/>
        <v>29</v>
      </c>
      <c r="J29" s="58" t="s">
        <v>19</v>
      </c>
      <c r="K29" s="55">
        <v>300050</v>
      </c>
      <c r="M29" s="203"/>
      <c r="N29" s="203"/>
    </row>
    <row r="30" spans="1:14" x14ac:dyDescent="0.25">
      <c r="A30" s="194"/>
      <c r="B30" s="196"/>
      <c r="C30" s="194"/>
      <c r="D30" s="55" t="str">
        <f>IF(ISBLANK(C30),"",VLOOKUP(C30,Bilan!$F$6:$G$25,2,FALSE))</f>
        <v/>
      </c>
      <c r="E30" s="201"/>
      <c r="F30" s="201"/>
      <c r="I30" s="68">
        <f t="shared" si="0"/>
        <v>30</v>
      </c>
      <c r="J30" s="58" t="s">
        <v>275</v>
      </c>
      <c r="K30" s="55" t="s">
        <v>486</v>
      </c>
      <c r="M30" s="203"/>
      <c r="N30" s="203"/>
    </row>
    <row r="31" spans="1:14" x14ac:dyDescent="0.25">
      <c r="A31" s="199"/>
      <c r="B31" s="199"/>
      <c r="C31" s="199"/>
      <c r="D31" s="58" t="str">
        <f>IF(ISBLANK(C31),"",VLOOKUP(C31,Bilan!$F$6:$G$25,2,FALSE))</f>
        <v/>
      </c>
      <c r="E31" s="201"/>
      <c r="F31" s="201"/>
      <c r="I31" s="68">
        <f t="shared" si="0"/>
        <v>31</v>
      </c>
      <c r="J31" s="58" t="s">
        <v>276</v>
      </c>
      <c r="K31" s="55">
        <f>IF(ISBLANK(A15),0,1)</f>
        <v>1</v>
      </c>
      <c r="M31" s="203"/>
      <c r="N31" s="203"/>
    </row>
    <row r="32" spans="1:14" x14ac:dyDescent="0.25">
      <c r="A32" s="199"/>
      <c r="B32" s="199"/>
      <c r="C32" s="199"/>
      <c r="D32" s="58" t="str">
        <f>IF(ISBLANK(C32),"",VLOOKUP(C32,Bilan!$F$6:$G$25,2,FALSE))</f>
        <v/>
      </c>
      <c r="E32" s="201"/>
      <c r="F32" s="201"/>
      <c r="M32" s="203"/>
      <c r="N32" s="203"/>
    </row>
    <row r="33" spans="1:14" x14ac:dyDescent="0.25">
      <c r="A33" s="199"/>
      <c r="B33" s="199"/>
      <c r="C33" s="199"/>
      <c r="D33" s="58" t="str">
        <f>IF(ISBLANK(C33),"",VLOOKUP(C33,Bilan!$F$6:$G$25,2,FALSE))</f>
        <v/>
      </c>
      <c r="E33" s="201"/>
      <c r="F33" s="201"/>
      <c r="M33" s="203"/>
      <c r="N33" s="203"/>
    </row>
    <row r="34" spans="1:14" x14ac:dyDescent="0.25">
      <c r="A34" s="199"/>
      <c r="B34" s="199"/>
      <c r="C34" s="199"/>
      <c r="D34" s="58" t="str">
        <f>IF(ISBLANK(C34),"",VLOOKUP(C34,Bilan!$F$6:$G$25,2,FALSE))</f>
        <v/>
      </c>
      <c r="E34" s="201"/>
      <c r="F34" s="201"/>
      <c r="M34" s="203"/>
      <c r="N34" s="203"/>
    </row>
    <row r="35" spans="1:14" x14ac:dyDescent="0.25">
      <c r="A35" s="199"/>
      <c r="B35" s="199"/>
      <c r="C35" s="199"/>
      <c r="D35" s="58" t="str">
        <f>IF(ISBLANK(C35),"",VLOOKUP(C35,Bilan!$F$6:$G$25,2,FALSE))</f>
        <v/>
      </c>
      <c r="E35" s="201"/>
      <c r="F35" s="201"/>
      <c r="M35" s="203"/>
      <c r="N35" s="203"/>
    </row>
    <row r="36" spans="1:14" x14ac:dyDescent="0.25">
      <c r="A36" s="199"/>
      <c r="B36" s="199"/>
      <c r="C36" s="199"/>
      <c r="D36" s="58" t="str">
        <f>IF(ISBLANK(C36),"",VLOOKUP(C36,Bilan!$F$6:$G$25,2,FALSE))</f>
        <v/>
      </c>
      <c r="E36" s="201"/>
      <c r="F36" s="201"/>
      <c r="M36" s="203"/>
      <c r="N36" s="203"/>
    </row>
    <row r="37" spans="1:14" x14ac:dyDescent="0.25">
      <c r="A37" s="199"/>
      <c r="B37" s="199"/>
      <c r="C37" s="199"/>
      <c r="D37" s="58" t="str">
        <f>IF(ISBLANK(C37),"",VLOOKUP(C37,Bilan!$F$6:$G$25,2,FALSE))</f>
        <v/>
      </c>
      <c r="E37" s="201"/>
      <c r="F37" s="201"/>
      <c r="M37" s="203"/>
      <c r="N37" s="203"/>
    </row>
    <row r="38" spans="1:14" x14ac:dyDescent="0.25">
      <c r="A38" s="199"/>
      <c r="B38" s="199"/>
      <c r="C38" s="199"/>
      <c r="D38" s="58" t="str">
        <f>IF(ISBLANK(C38),"",VLOOKUP(C38,Bilan!$F$6:$G$25,2,FALSE))</f>
        <v/>
      </c>
      <c r="E38" s="201"/>
      <c r="F38" s="201"/>
      <c r="M38" s="203"/>
      <c r="N38" s="203"/>
    </row>
    <row r="39" spans="1:14" x14ac:dyDescent="0.25">
      <c r="A39" s="199"/>
      <c r="B39" s="199"/>
      <c r="C39" s="199"/>
      <c r="D39" s="58" t="str">
        <f>IF(ISBLANK(C39),"",VLOOKUP(C39,Bilan!$F$6:$G$25,2,FALSE))</f>
        <v/>
      </c>
      <c r="E39" s="201"/>
      <c r="F39" s="201"/>
      <c r="M39" s="203"/>
      <c r="N39" s="203"/>
    </row>
    <row r="40" spans="1:14" x14ac:dyDescent="0.25">
      <c r="A40" s="199"/>
      <c r="B40" s="199"/>
      <c r="C40" s="199"/>
      <c r="D40" s="58" t="str">
        <f>IF(ISBLANK(C40),"",VLOOKUP(C40,Bilan!$F$6:$G$25,2,FALSE))</f>
        <v/>
      </c>
      <c r="E40" s="201"/>
      <c r="F40" s="201"/>
      <c r="M40" s="203"/>
      <c r="N40" s="203"/>
    </row>
    <row r="41" spans="1:14" x14ac:dyDescent="0.25">
      <c r="A41" s="199"/>
      <c r="B41" s="199"/>
      <c r="C41" s="199"/>
      <c r="D41" s="58" t="str">
        <f>IF(ISBLANK(C41),"",VLOOKUP(C41,Bilan!$F$6:$G$25,2,FALSE))</f>
        <v/>
      </c>
      <c r="E41" s="201"/>
      <c r="F41" s="201"/>
      <c r="M41" s="203"/>
      <c r="N41" s="203"/>
    </row>
    <row r="42" spans="1:14" x14ac:dyDescent="0.25">
      <c r="A42" s="199"/>
      <c r="B42" s="199"/>
      <c r="C42" s="199"/>
      <c r="D42" s="58" t="str">
        <f>IF(ISBLANK(C42),"",VLOOKUP(C42,Bilan!$F$6:$G$25,2,FALSE))</f>
        <v/>
      </c>
      <c r="E42" s="201"/>
      <c r="F42" s="201"/>
      <c r="M42" s="203"/>
      <c r="N42" s="203"/>
    </row>
    <row r="43" spans="1:14" x14ac:dyDescent="0.25">
      <c r="A43" s="199"/>
      <c r="B43" s="199"/>
      <c r="C43" s="199"/>
      <c r="D43" s="58" t="str">
        <f>IF(ISBLANK(C43),"",VLOOKUP(C43,Bilan!$F$6:$G$25,2,FALSE))</f>
        <v/>
      </c>
      <c r="E43" s="201"/>
      <c r="F43" s="201"/>
      <c r="M43" s="203"/>
      <c r="N43" s="203"/>
    </row>
    <row r="44" spans="1:14" x14ac:dyDescent="0.25">
      <c r="A44" s="199"/>
      <c r="B44" s="199"/>
      <c r="C44" s="199"/>
      <c r="D44" s="58" t="str">
        <f>IF(ISBLANK(C44),"",VLOOKUP(C44,Bilan!$F$6:$G$25,2,FALSE))</f>
        <v/>
      </c>
      <c r="E44" s="201"/>
      <c r="F44" s="201"/>
      <c r="M44" s="203"/>
      <c r="N44" s="203"/>
    </row>
    <row r="45" spans="1:14" x14ac:dyDescent="0.25">
      <c r="A45" s="199"/>
      <c r="B45" s="199"/>
      <c r="C45" s="199"/>
      <c r="D45" s="58" t="str">
        <f>IF(ISBLANK(C45),"",VLOOKUP(C45,Bilan!$F$6:$G$25,2,FALSE))</f>
        <v/>
      </c>
      <c r="E45" s="201"/>
      <c r="F45" s="201"/>
      <c r="M45" s="203"/>
      <c r="N45" s="203"/>
    </row>
    <row r="46" spans="1:14" x14ac:dyDescent="0.25">
      <c r="A46" s="199"/>
      <c r="B46" s="199"/>
      <c r="C46" s="199"/>
      <c r="D46" s="58" t="str">
        <f>IF(ISBLANK(C46),"",VLOOKUP(C46,Bilan!$F$6:$G$25,2,FALSE))</f>
        <v/>
      </c>
      <c r="E46" s="201"/>
      <c r="F46" s="201"/>
      <c r="M46" s="203"/>
      <c r="N46" s="203"/>
    </row>
    <row r="47" spans="1:14" x14ac:dyDescent="0.25">
      <c r="A47" s="199"/>
      <c r="B47" s="199"/>
      <c r="C47" s="199"/>
      <c r="D47" s="58" t="str">
        <f>IF(ISBLANK(C47),"",VLOOKUP(C47,Bilan!$F$6:$G$25,2,FALSE))</f>
        <v/>
      </c>
      <c r="E47" s="201"/>
      <c r="F47" s="201"/>
      <c r="M47" s="203"/>
      <c r="N47" s="203"/>
    </row>
    <row r="48" spans="1:14" x14ac:dyDescent="0.25">
      <c r="A48" s="199"/>
      <c r="B48" s="199"/>
      <c r="C48" s="199"/>
      <c r="D48" s="58" t="str">
        <f>IF(ISBLANK(C48),"",VLOOKUP(C48,Bilan!$F$6:$G$25,2,FALSE))</f>
        <v/>
      </c>
      <c r="E48" s="201"/>
      <c r="F48" s="201"/>
      <c r="M48" s="203"/>
      <c r="N48" s="203"/>
    </row>
    <row r="49" spans="1:14" x14ac:dyDescent="0.25">
      <c r="A49" s="199"/>
      <c r="B49" s="199"/>
      <c r="C49" s="199"/>
      <c r="D49" s="58" t="str">
        <f>IF(ISBLANK(C49),"",VLOOKUP(C49,Bilan!$F$6:$G$25,2,FALSE))</f>
        <v/>
      </c>
      <c r="E49" s="201"/>
      <c r="F49" s="201"/>
      <c r="M49" s="203"/>
      <c r="N49" s="203"/>
    </row>
    <row r="50" spans="1:14" x14ac:dyDescent="0.25">
      <c r="A50" s="199"/>
      <c r="B50" s="199"/>
      <c r="C50" s="199"/>
      <c r="D50" s="58" t="str">
        <f>IF(ISBLANK(C50),"",VLOOKUP(C50,Bilan!$F$6:$G$25,2,FALSE))</f>
        <v/>
      </c>
      <c r="E50" s="201"/>
      <c r="F50" s="201"/>
      <c r="M50" s="203"/>
      <c r="N50" s="203"/>
    </row>
    <row r="51" spans="1:14" x14ac:dyDescent="0.25">
      <c r="A51" s="199"/>
      <c r="B51" s="199"/>
      <c r="C51" s="199"/>
      <c r="D51" s="58" t="str">
        <f>IF(ISBLANK(C51),"",VLOOKUP(C51,Bilan!$F$6:$G$25,2,FALSE))</f>
        <v/>
      </c>
      <c r="E51" s="201"/>
      <c r="F51" s="201"/>
      <c r="M51" s="203"/>
      <c r="N51" s="203"/>
    </row>
    <row r="52" spans="1:14" x14ac:dyDescent="0.25">
      <c r="A52" s="199"/>
      <c r="B52" s="199"/>
      <c r="C52" s="199"/>
      <c r="D52" s="58" t="str">
        <f>IF(ISBLANK(C52),"",VLOOKUP(C52,Bilan!$F$6:$G$25,2,FALSE))</f>
        <v/>
      </c>
      <c r="E52" s="201"/>
      <c r="F52" s="201"/>
      <c r="M52" s="203"/>
      <c r="N52" s="203"/>
    </row>
    <row r="53" spans="1:14" x14ac:dyDescent="0.25">
      <c r="A53" s="199"/>
      <c r="B53" s="199"/>
      <c r="C53" s="199"/>
      <c r="D53" s="58" t="str">
        <f>IF(ISBLANK(C53),"",VLOOKUP(C53,Bilan!$F$6:$G$25,2,FALSE))</f>
        <v/>
      </c>
      <c r="E53" s="201"/>
      <c r="F53" s="201"/>
      <c r="M53" s="203"/>
      <c r="N53" s="203"/>
    </row>
    <row r="54" spans="1:14" x14ac:dyDescent="0.25">
      <c r="A54" s="199"/>
      <c r="B54" s="199"/>
      <c r="C54" s="199"/>
      <c r="D54" s="58" t="str">
        <f>IF(ISBLANK(C54),"",VLOOKUP(C54,Bilan!$F$6:$G$25,2,FALSE))</f>
        <v/>
      </c>
      <c r="E54" s="201"/>
      <c r="F54" s="201"/>
      <c r="M54" s="203"/>
      <c r="N54" s="203"/>
    </row>
    <row r="55" spans="1:14" x14ac:dyDescent="0.25">
      <c r="A55" s="199"/>
      <c r="B55" s="199"/>
      <c r="C55" s="199"/>
      <c r="D55" s="58" t="str">
        <f>IF(ISBLANK(C55),"",VLOOKUP(C55,Bilan!$F$6:$G$25,2,FALSE))</f>
        <v/>
      </c>
      <c r="E55" s="201"/>
      <c r="F55" s="201"/>
      <c r="M55" s="203"/>
      <c r="N55" s="203"/>
    </row>
    <row r="56" spans="1:14" x14ac:dyDescent="0.25">
      <c r="A56" s="199"/>
      <c r="B56" s="199"/>
      <c r="C56" s="199"/>
      <c r="D56" s="58" t="str">
        <f>IF(ISBLANK(C56),"",VLOOKUP(C56,Bilan!$F$6:$G$25,2,FALSE))</f>
        <v/>
      </c>
      <c r="E56" s="201"/>
      <c r="F56" s="201"/>
      <c r="M56" s="203"/>
      <c r="N56" s="203"/>
    </row>
    <row r="57" spans="1:14" x14ac:dyDescent="0.25">
      <c r="A57" s="200"/>
      <c r="B57" s="200"/>
      <c r="C57" s="200"/>
      <c r="E57" s="200"/>
      <c r="F57" s="200"/>
      <c r="M57" s="203"/>
      <c r="N57" s="203"/>
    </row>
    <row r="58" spans="1:14" x14ac:dyDescent="0.25">
      <c r="A58" s="200"/>
      <c r="B58" s="200"/>
      <c r="C58" s="200"/>
      <c r="E58" s="200"/>
      <c r="F58" s="200"/>
      <c r="M58" s="203"/>
      <c r="N58" s="203"/>
    </row>
  </sheetData>
  <sortState ref="N7:N15">
    <sortCondition ref="N7"/>
  </sortState>
  <conditionalFormatting sqref="B2:B4">
    <cfRule type="expression" dxfId="34" priority="11">
      <formula>LEN(TRIM(B2:B4))=0</formula>
    </cfRule>
  </conditionalFormatting>
  <conditionalFormatting sqref="A7:C7">
    <cfRule type="expression" dxfId="33" priority="10">
      <formula>LEN(TRIM(A7:C7))=0</formula>
    </cfRule>
  </conditionalFormatting>
  <conditionalFormatting sqref="E7:F7">
    <cfRule type="expression" dxfId="32" priority="9">
      <formula>LEN(TRIM(E7:F7))=0</formula>
    </cfRule>
  </conditionalFormatting>
  <conditionalFormatting sqref="H1:H5">
    <cfRule type="expression" dxfId="31" priority="8">
      <formula>LEN(TRIM(H1:H5))=0</formula>
    </cfRule>
  </conditionalFormatting>
  <conditionalFormatting sqref="H9">
    <cfRule type="expression" dxfId="30" priority="7">
      <formula>LEN(TRIM(H9))=0</formula>
    </cfRule>
  </conditionalFormatting>
  <conditionalFormatting sqref="H6">
    <cfRule type="expression" dxfId="29" priority="6">
      <formula>AND(LEN(TRIM(H6))=0,LEN(TRIM(H7))=0,LEN(TRIM(H8))=0)</formula>
    </cfRule>
  </conditionalFormatting>
  <conditionalFormatting sqref="H7">
    <cfRule type="expression" dxfId="28" priority="5">
      <formula>AND(LEN(TRIM(H6))=0,LEN(TRIM(H7))=0,LEN(TRIM(H8))=0)</formula>
    </cfRule>
  </conditionalFormatting>
  <conditionalFormatting sqref="H8">
    <cfRule type="expression" dxfId="27" priority="4">
      <formula>AND(LEN(TRIM(H6))=0,LEN(TRIM(H7))=0,LEN(TRIM(H8))=0)</formula>
    </cfRule>
  </conditionalFormatting>
  <conditionalFormatting sqref="E8:E15">
    <cfRule type="expression" dxfId="26" priority="3">
      <formula>LEN(TRIM(E8:F8))=0</formula>
    </cfRule>
  </conditionalFormatting>
  <conditionalFormatting sqref="F8:F11">
    <cfRule type="expression" dxfId="25" priority="2">
      <formula>LEN(TRIM(F8:G8))=0</formula>
    </cfRule>
  </conditionalFormatting>
  <conditionalFormatting sqref="F13:F14">
    <cfRule type="expression" dxfId="24" priority="1">
      <formula>LEN(TRIM(F13:G13))=0</formula>
    </cfRule>
  </conditionalFormatting>
  <dataValidations count="2">
    <dataValidation type="list" allowBlank="1" showInputMessage="1" showErrorMessage="1" sqref="F7:F56">
      <formula1>INDIRECT(E7)</formula1>
    </dataValidation>
    <dataValidation type="list" allowBlank="1" showInputMessage="1" showErrorMessage="1" sqref="E7:E56">
      <formula1>groupe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Membres!$A$6:$A$41</xm:f>
          </x14:formula1>
          <xm:sqref>B2</xm:sqref>
        </x14:dataValidation>
        <x14:dataValidation type="list" allowBlank="1" showInputMessage="1" showErrorMessage="1">
          <x14:formula1>
            <xm:f>Bilan!$F$6:$F$19</xm:f>
          </x14:formula1>
          <xm:sqref>C7:C14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/>
  <dimension ref="A1:N58"/>
  <sheetViews>
    <sheetView workbookViewId="0">
      <selection activeCell="G20" sqref="G20"/>
    </sheetView>
  </sheetViews>
  <sheetFormatPr baseColWidth="10" defaultRowHeight="15" x14ac:dyDescent="0.25"/>
  <cols>
    <col min="1" max="1" width="22.85546875" style="208" customWidth="1"/>
    <col min="2" max="2" width="16.85546875" style="208" bestFit="1" customWidth="1"/>
    <col min="3" max="3" width="28" style="208" bestFit="1" customWidth="1"/>
    <col min="4" max="4" width="10.42578125" style="208" bestFit="1" customWidth="1"/>
    <col min="5" max="5" width="21.5703125" style="208" customWidth="1"/>
    <col min="6" max="6" width="23.5703125" style="208" customWidth="1"/>
    <col min="7" max="7" width="22.42578125" style="208" bestFit="1" customWidth="1"/>
    <col min="8" max="8" width="17.85546875" style="208" customWidth="1"/>
    <col min="9" max="9" width="2.85546875" style="208" customWidth="1"/>
    <col min="10" max="10" width="24.42578125" style="208" bestFit="1" customWidth="1"/>
    <col min="11" max="11" width="11.42578125" style="208"/>
  </cols>
  <sheetData>
    <row r="1" spans="1:14" x14ac:dyDescent="0.25">
      <c r="A1" s="161" t="s">
        <v>274</v>
      </c>
      <c r="B1" s="55" t="s">
        <v>501</v>
      </c>
      <c r="I1" s="68">
        <v>1</v>
      </c>
      <c r="J1" s="58" t="s">
        <v>251</v>
      </c>
      <c r="K1" s="55" t="str">
        <f>VLOOKUP(B2,Membres!A6:R200,3,FALSE)</f>
        <v>Jérémy</v>
      </c>
    </row>
    <row r="2" spans="1:14" x14ac:dyDescent="0.25">
      <c r="A2" s="161" t="s">
        <v>244</v>
      </c>
      <c r="B2" s="51" t="s">
        <v>502</v>
      </c>
      <c r="I2" s="68">
        <f t="shared" ref="I2:I31" si="0">I1+1</f>
        <v>2</v>
      </c>
      <c r="J2" s="58" t="s">
        <v>248</v>
      </c>
      <c r="K2" s="55" t="str">
        <f>VLOOKUP(B2,Membres!A6:R200,2,FALSE)</f>
        <v>Marsolais</v>
      </c>
    </row>
    <row r="3" spans="1:14" x14ac:dyDescent="0.25">
      <c r="A3" s="161" t="s">
        <v>13</v>
      </c>
      <c r="B3" s="51" t="s">
        <v>503</v>
      </c>
      <c r="I3" s="68">
        <f t="shared" si="0"/>
        <v>3</v>
      </c>
      <c r="J3" s="58" t="s">
        <v>252</v>
      </c>
      <c r="K3" s="55" t="s">
        <v>484</v>
      </c>
    </row>
    <row r="4" spans="1:14" x14ac:dyDescent="0.25">
      <c r="A4" s="161" t="s">
        <v>257</v>
      </c>
      <c r="B4" s="52">
        <v>0</v>
      </c>
      <c r="I4" s="68">
        <f t="shared" si="0"/>
        <v>4</v>
      </c>
      <c r="J4" s="58" t="s">
        <v>253</v>
      </c>
      <c r="K4" s="55" t="str">
        <f>VLOOKUP(B2,Membres!A6:R200,4,FALSE)</f>
        <v>MARJ12029407</v>
      </c>
    </row>
    <row r="5" spans="1:14" x14ac:dyDescent="0.25">
      <c r="I5" s="68">
        <f t="shared" si="0"/>
        <v>5</v>
      </c>
      <c r="J5" s="58" t="s">
        <v>16</v>
      </c>
      <c r="K5" s="57">
        <v>42649</v>
      </c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H6" s="214"/>
      <c r="I6" s="68">
        <f t="shared" si="0"/>
        <v>6</v>
      </c>
      <c r="J6" s="58" t="s">
        <v>277</v>
      </c>
      <c r="K6" s="55" t="str">
        <f>VLOOKUP(B2,Membres!A6:R200,6,FALSE)</f>
        <v>450-750-8178</v>
      </c>
    </row>
    <row r="7" spans="1:14" x14ac:dyDescent="0.25">
      <c r="A7" s="209" t="s">
        <v>504</v>
      </c>
      <c r="B7" s="164">
        <v>23.79</v>
      </c>
      <c r="C7" s="210" t="s">
        <v>10</v>
      </c>
      <c r="D7" s="60">
        <f>IF(ISBLANK(C7),"",VLOOKUP(C7,Bilan!$F$6:$G$25,2,FALSE))</f>
        <v>57253</v>
      </c>
      <c r="E7" s="65"/>
      <c r="F7" s="65"/>
      <c r="H7" s="214"/>
      <c r="I7" s="68">
        <f t="shared" si="0"/>
        <v>7</v>
      </c>
      <c r="J7" s="58" t="s">
        <v>254</v>
      </c>
      <c r="K7" s="55" t="s">
        <v>155</v>
      </c>
      <c r="M7" s="203">
        <f>1</f>
        <v>1</v>
      </c>
      <c r="N7" s="203">
        <v>53111</v>
      </c>
    </row>
    <row r="8" spans="1:14" x14ac:dyDescent="0.25">
      <c r="A8" s="209" t="s">
        <v>505</v>
      </c>
      <c r="B8" s="164">
        <v>4.53</v>
      </c>
      <c r="C8" s="210" t="s">
        <v>10</v>
      </c>
      <c r="D8" s="60">
        <f>IF(ISBLANK(C8),"",VLOOKUP(C8,Bilan!$F$6:$G$25,2,FALSE))</f>
        <v>57253</v>
      </c>
      <c r="E8" s="65"/>
      <c r="F8" s="65"/>
      <c r="H8" s="214"/>
      <c r="I8" s="68">
        <f t="shared" si="0"/>
        <v>8</v>
      </c>
      <c r="J8" s="58" t="s">
        <v>255</v>
      </c>
      <c r="K8" s="55" t="s">
        <v>485</v>
      </c>
      <c r="M8" s="203">
        <f>IF(N8=N7,M7,M7+1)</f>
        <v>1</v>
      </c>
      <c r="N8" s="203">
        <v>53111</v>
      </c>
    </row>
    <row r="9" spans="1:14" x14ac:dyDescent="0.25">
      <c r="A9" s="210" t="s">
        <v>506</v>
      </c>
      <c r="B9" s="52">
        <v>4.37</v>
      </c>
      <c r="C9" s="210" t="s">
        <v>10</v>
      </c>
      <c r="D9" s="60">
        <f>IF(ISBLANK(C9),"",VLOOKUP(C9,Bilan!$F$6:$G$25,2,FALSE))</f>
        <v>57253</v>
      </c>
      <c r="E9" s="65"/>
      <c r="F9" s="65"/>
      <c r="I9" s="68">
        <f t="shared" si="0"/>
        <v>9</v>
      </c>
      <c r="J9" s="58" t="s">
        <v>256</v>
      </c>
      <c r="K9" s="193">
        <f>K18-B4</f>
        <v>814.53000000000009</v>
      </c>
      <c r="M9" s="203">
        <f t="shared" ref="M9:M18" si="1">IF(N9=N8,M8,M8+1)</f>
        <v>1</v>
      </c>
      <c r="N9" s="203">
        <v>53111</v>
      </c>
    </row>
    <row r="10" spans="1:14" x14ac:dyDescent="0.25">
      <c r="A10" s="210" t="s">
        <v>507</v>
      </c>
      <c r="B10" s="52">
        <v>4.0199999999999996</v>
      </c>
      <c r="C10" s="210" t="s">
        <v>10</v>
      </c>
      <c r="D10" s="60">
        <f>IF(ISBLANK(C10),"",VLOOKUP(C10,Bilan!$F$6:$G$25,2,FALSE))</f>
        <v>57253</v>
      </c>
      <c r="E10" s="65"/>
      <c r="F10" s="65"/>
      <c r="I10" s="68">
        <f t="shared" si="0"/>
        <v>10</v>
      </c>
      <c r="J10" s="58" t="s">
        <v>258</v>
      </c>
      <c r="K10" s="55" t="str">
        <f>B2</f>
        <v>Jérémy Marsolais</v>
      </c>
      <c r="M10" s="203">
        <f t="shared" si="1"/>
        <v>2</v>
      </c>
      <c r="N10" s="203">
        <v>54210</v>
      </c>
    </row>
    <row r="11" spans="1:14" x14ac:dyDescent="0.25">
      <c r="A11" s="210" t="s">
        <v>508</v>
      </c>
      <c r="B11" s="52">
        <v>12.42</v>
      </c>
      <c r="C11" s="210" t="s">
        <v>10</v>
      </c>
      <c r="D11" s="60">
        <f>IF(ISBLANK(C11),"",VLOOKUP(C11,Bilan!$F$6:$G$25,2,FALSE))</f>
        <v>57253</v>
      </c>
      <c r="E11" s="65"/>
      <c r="F11" s="65"/>
      <c r="I11" s="68">
        <f t="shared" si="0"/>
        <v>11</v>
      </c>
      <c r="J11" s="58" t="s">
        <v>259</v>
      </c>
      <c r="K11" s="55"/>
      <c r="M11" s="203">
        <f t="shared" si="1"/>
        <v>3</v>
      </c>
      <c r="N11" s="203">
        <v>57253</v>
      </c>
    </row>
    <row r="12" spans="1:14" x14ac:dyDescent="0.25">
      <c r="A12" s="210" t="s">
        <v>509</v>
      </c>
      <c r="B12" s="52">
        <v>13.36</v>
      </c>
      <c r="C12" s="210" t="s">
        <v>10</v>
      </c>
      <c r="D12" s="60">
        <f>IF(ISBLANK(C12),"",VLOOKUP(C12,Bilan!$F$6:$G$25,2,FALSE))</f>
        <v>57253</v>
      </c>
      <c r="E12" s="65"/>
      <c r="F12" s="65"/>
      <c r="I12" s="68">
        <f t="shared" si="0"/>
        <v>12</v>
      </c>
      <c r="J12" s="58" t="s">
        <v>260</v>
      </c>
      <c r="K12" s="55"/>
      <c r="M12" s="203">
        <f t="shared" si="1"/>
        <v>3</v>
      </c>
      <c r="N12" s="203">
        <v>57253</v>
      </c>
    </row>
    <row r="13" spans="1:14" x14ac:dyDescent="0.25">
      <c r="A13" s="210" t="s">
        <v>510</v>
      </c>
      <c r="B13" s="52">
        <v>539.63</v>
      </c>
      <c r="C13" s="210" t="s">
        <v>10</v>
      </c>
      <c r="D13" s="55">
        <f>IF(ISBLANK(C13),"",VLOOKUP(C13,Bilan!$F$6:$G$25,2,FALSE))</f>
        <v>57253</v>
      </c>
      <c r="E13" s="65"/>
      <c r="F13" s="65"/>
      <c r="I13" s="68">
        <f t="shared" si="0"/>
        <v>13</v>
      </c>
      <c r="J13" s="58" t="s">
        <v>249</v>
      </c>
      <c r="K13" s="55" t="str">
        <f>VLOOKUP(B2,Membres!A6:R200,8,FALSE)</f>
        <v>47 cote st louis</v>
      </c>
      <c r="M13" s="203">
        <f t="shared" si="1"/>
        <v>3</v>
      </c>
      <c r="N13" s="203">
        <v>57253</v>
      </c>
    </row>
    <row r="14" spans="1:14" ht="15.75" thickBot="1" x14ac:dyDescent="0.3">
      <c r="A14" s="211" t="s">
        <v>511</v>
      </c>
      <c r="B14" s="190">
        <v>35.11</v>
      </c>
      <c r="C14" s="211" t="s">
        <v>4</v>
      </c>
      <c r="D14" s="191">
        <f>IF(ISBLANK(C14),"",VLOOKUP(C14,Bilan!$F$6:$G$25,2,FALSE))</f>
        <v>53111</v>
      </c>
      <c r="E14" s="192"/>
      <c r="F14" s="192"/>
      <c r="I14" s="68">
        <f t="shared" si="0"/>
        <v>14</v>
      </c>
      <c r="J14" s="58" t="s">
        <v>17</v>
      </c>
      <c r="K14" s="55" t="str">
        <f>VLOOKUP(B2,Membres!A6:R200,11,FALSE)</f>
        <v>Qc</v>
      </c>
      <c r="M14" s="203">
        <f t="shared" si="1"/>
        <v>3</v>
      </c>
      <c r="N14" s="203">
        <v>57253</v>
      </c>
    </row>
    <row r="15" spans="1:14" ht="15.75" thickTop="1" x14ac:dyDescent="0.25">
      <c r="A15" s="212" t="s">
        <v>510</v>
      </c>
      <c r="B15" s="53">
        <v>110.69</v>
      </c>
      <c r="C15" s="212" t="s">
        <v>9</v>
      </c>
      <c r="D15" s="56">
        <f>IF(ISBLANK(C15),"",VLOOKUP(C15,Bilan!$F$6:$G$25,2,FALSE))</f>
        <v>54210</v>
      </c>
      <c r="E15" s="66"/>
      <c r="F15" s="66"/>
      <c r="I15" s="68">
        <f t="shared" si="0"/>
        <v>15</v>
      </c>
      <c r="J15" s="58" t="s">
        <v>261</v>
      </c>
      <c r="K15" s="55" t="str">
        <f>VLOOKUP(B2,Membres!A6:R200,10,FALSE)</f>
        <v>J0K 2L0</v>
      </c>
      <c r="M15" s="203">
        <f t="shared" si="1"/>
        <v>3</v>
      </c>
      <c r="N15" s="203">
        <v>57253</v>
      </c>
    </row>
    <row r="16" spans="1:14" x14ac:dyDescent="0.25">
      <c r="A16" s="210" t="s">
        <v>512</v>
      </c>
      <c r="B16" s="52">
        <v>45.36</v>
      </c>
      <c r="C16" s="210" t="s">
        <v>10</v>
      </c>
      <c r="D16" s="55">
        <f>IF(ISBLANK(C16),"",VLOOKUP(C16,Bilan!$F$6:$G$25,2,FALSE))</f>
        <v>57253</v>
      </c>
      <c r="E16" s="65"/>
      <c r="F16" s="65"/>
      <c r="I16" s="68">
        <f t="shared" si="0"/>
        <v>16</v>
      </c>
      <c r="J16" s="58" t="s">
        <v>250</v>
      </c>
      <c r="K16" s="55" t="str">
        <f>VLOOKUP(B2,Membres!A6:R200,9,FALSE)</f>
        <v>St-Esprit (Lanaudière)</v>
      </c>
      <c r="M16" s="203">
        <f t="shared" si="1"/>
        <v>3</v>
      </c>
      <c r="N16" s="203">
        <v>57253</v>
      </c>
    </row>
    <row r="17" spans="1:14" x14ac:dyDescent="0.25">
      <c r="A17" s="210" t="s">
        <v>513</v>
      </c>
      <c r="B17" s="52">
        <v>11.25</v>
      </c>
      <c r="C17" s="210" t="s">
        <v>4</v>
      </c>
      <c r="D17" s="55">
        <f>IF(ISBLANK(C17),"",VLOOKUP(C17,Bilan!$F$6:$G$25,2,FALSE))</f>
        <v>53111</v>
      </c>
      <c r="E17" s="65"/>
      <c r="F17" s="65"/>
      <c r="I17" s="68">
        <f t="shared" si="0"/>
        <v>17</v>
      </c>
      <c r="J17" s="58" t="s">
        <v>14</v>
      </c>
      <c r="K17" s="55" t="str">
        <f>VLOOKUP(B2,Membres!A6:R200,7,FALSE)</f>
        <v>marsolais32@gmail.com</v>
      </c>
      <c r="M17" s="203">
        <f t="shared" si="1"/>
        <v>3</v>
      </c>
      <c r="N17" s="203">
        <v>57253</v>
      </c>
    </row>
    <row r="18" spans="1:14" x14ac:dyDescent="0.25">
      <c r="A18" s="210" t="s">
        <v>514</v>
      </c>
      <c r="B18" s="52">
        <v>10</v>
      </c>
      <c r="C18" s="210" t="s">
        <v>4</v>
      </c>
      <c r="D18" s="55">
        <f>IF(ISBLANK(C18),"",VLOOKUP(C18,Bilan!$F$6:$G$25,2,FALSE))</f>
        <v>53111</v>
      </c>
      <c r="E18" s="65"/>
      <c r="F18" s="65"/>
      <c r="G18" s="49"/>
      <c r="H18" s="49"/>
      <c r="I18" s="68">
        <f t="shared" si="0"/>
        <v>18</v>
      </c>
      <c r="J18" s="58" t="s">
        <v>262</v>
      </c>
      <c r="K18" s="59">
        <f>SUM(B7:B100)</f>
        <v>814.53000000000009</v>
      </c>
      <c r="M18" s="203">
        <f t="shared" si="1"/>
        <v>3</v>
      </c>
      <c r="N18" s="203">
        <v>57253</v>
      </c>
    </row>
    <row r="19" spans="1:14" x14ac:dyDescent="0.25">
      <c r="A19" s="51"/>
      <c r="B19" s="52"/>
      <c r="C19" s="51"/>
      <c r="D19" s="55" t="str">
        <f>IF(ISBLANK(C19),"",VLOOKUP(C19,Bilan!$F$6:$G$25,2,FALSE))</f>
        <v/>
      </c>
      <c r="E19" s="65"/>
      <c r="F19" s="65"/>
      <c r="I19" s="68">
        <f t="shared" si="0"/>
        <v>19</v>
      </c>
      <c r="J19" s="58" t="s">
        <v>263</v>
      </c>
      <c r="K19" s="59">
        <f>SUMIFS(B7:B58,D7:D58,K24)</f>
        <v>56.36</v>
      </c>
      <c r="M19" s="203"/>
      <c r="N19" s="203"/>
    </row>
    <row r="20" spans="1:14" x14ac:dyDescent="0.25">
      <c r="A20" s="51"/>
      <c r="B20" s="52"/>
      <c r="C20" s="51"/>
      <c r="D20" s="55" t="str">
        <f>IF(ISBLANK(C20),"",VLOOKUP(C20,Bilan!$F$6:$G$25,2,FALSE))</f>
        <v/>
      </c>
      <c r="E20" s="65"/>
      <c r="F20" s="65"/>
      <c r="I20" s="68">
        <f t="shared" si="0"/>
        <v>20</v>
      </c>
      <c r="J20" s="58" t="s">
        <v>264</v>
      </c>
      <c r="K20" s="59">
        <f>SUMIFS(B7:B58,D7:D58,K25)</f>
        <v>110.69</v>
      </c>
      <c r="M20" s="203"/>
      <c r="N20" s="203"/>
    </row>
    <row r="21" spans="1:14" x14ac:dyDescent="0.25">
      <c r="A21" s="51"/>
      <c r="B21" s="52"/>
      <c r="C21" s="51"/>
      <c r="D21" s="55" t="str">
        <f>IF(ISBLANK(C21),"",VLOOKUP(C21,Bilan!$F$6:$G$25,2,FALSE))</f>
        <v/>
      </c>
      <c r="E21" s="65"/>
      <c r="F21" s="65"/>
      <c r="I21" s="68">
        <f t="shared" si="0"/>
        <v>21</v>
      </c>
      <c r="J21" s="58" t="s">
        <v>265</v>
      </c>
      <c r="K21" s="59">
        <f>SUMIFS(B7:B58,D7:D58,K26)</f>
        <v>647.48</v>
      </c>
      <c r="M21" s="203"/>
      <c r="N21" s="203"/>
    </row>
    <row r="22" spans="1:14" x14ac:dyDescent="0.25">
      <c r="A22" s="51"/>
      <c r="B22" s="52"/>
      <c r="C22" s="51"/>
      <c r="D22" s="55" t="str">
        <f>IF(ISBLANK(C22),"",VLOOKUP(C22,Bilan!$F$6:$G$25,2,FALSE))</f>
        <v/>
      </c>
      <c r="E22" s="65"/>
      <c r="F22" s="65"/>
      <c r="I22" s="68">
        <f t="shared" si="0"/>
        <v>22</v>
      </c>
      <c r="J22" s="58" t="s">
        <v>266</v>
      </c>
      <c r="K22" s="59">
        <f>SUMIFS(B7:B58,D7:D58,K27)</f>
        <v>0</v>
      </c>
      <c r="M22" s="203"/>
      <c r="N22" s="203"/>
    </row>
    <row r="23" spans="1:14" x14ac:dyDescent="0.25">
      <c r="A23" s="51"/>
      <c r="B23" s="52"/>
      <c r="C23" s="51"/>
      <c r="D23" s="55" t="str">
        <f>IF(ISBLANK(C23),"",VLOOKUP(C23,Bilan!$F$6:$G$25,2,FALSE))</f>
        <v/>
      </c>
      <c r="E23" s="65"/>
      <c r="F23" s="65"/>
      <c r="I23" s="68">
        <f t="shared" si="0"/>
        <v>23</v>
      </c>
      <c r="J23" s="58" t="s">
        <v>267</v>
      </c>
      <c r="K23" s="59">
        <f>SUMIFS(B7:B58,D7:D58,K28)</f>
        <v>0</v>
      </c>
      <c r="M23" s="203"/>
      <c r="N23" s="203"/>
    </row>
    <row r="24" spans="1:14" x14ac:dyDescent="0.25">
      <c r="A24" s="51"/>
      <c r="B24" s="52"/>
      <c r="C24" s="51"/>
      <c r="D24" s="55" t="str">
        <f>IF(ISBLANK(C24),"",VLOOKUP(C24,Bilan!$F$6:$G$25,2,FALSE))</f>
        <v/>
      </c>
      <c r="E24" s="65"/>
      <c r="F24" s="65"/>
      <c r="I24" s="68">
        <f t="shared" si="0"/>
        <v>24</v>
      </c>
      <c r="J24" s="58" t="s">
        <v>268</v>
      </c>
      <c r="K24" s="55">
        <f>IF(ISERROR(VLOOKUP(1,M7:N58,2,FALSE))," ",VLOOKUP(1,M7:N58,2,FALSE))</f>
        <v>53111</v>
      </c>
      <c r="M24" s="203"/>
      <c r="N24" s="203"/>
    </row>
    <row r="25" spans="1:14" x14ac:dyDescent="0.25">
      <c r="A25" s="51"/>
      <c r="B25" s="52"/>
      <c r="C25" s="51"/>
      <c r="D25" s="55" t="str">
        <f>IF(ISBLANK(C25),"",VLOOKUP(C25,Bilan!$F$6:$G$25,2,FALSE))</f>
        <v/>
      </c>
      <c r="E25" s="65"/>
      <c r="F25" s="65"/>
      <c r="I25" s="68">
        <f t="shared" si="0"/>
        <v>25</v>
      </c>
      <c r="J25" s="58" t="s">
        <v>269</v>
      </c>
      <c r="K25" s="55">
        <f>IF(ISERROR(VLOOKUP(2,M7:N58,2,FALSE))," ",VLOOKUP(2,M7:N58,2,FALSE))</f>
        <v>54210</v>
      </c>
      <c r="M25" s="203"/>
      <c r="N25" s="203"/>
    </row>
    <row r="26" spans="1:14" x14ac:dyDescent="0.25">
      <c r="A26" s="51"/>
      <c r="B26" s="52"/>
      <c r="C26" s="51"/>
      <c r="D26" s="55" t="str">
        <f>IF(ISBLANK(C26),"",VLOOKUP(C26,Bilan!$F$6:$G$25,2,FALSE))</f>
        <v/>
      </c>
      <c r="E26" s="65"/>
      <c r="F26" s="65"/>
      <c r="I26" s="68">
        <f t="shared" si="0"/>
        <v>26</v>
      </c>
      <c r="J26" s="58" t="s">
        <v>270</v>
      </c>
      <c r="K26" s="55">
        <f>IF(ISERROR(VLOOKUP(3,M7:N58,2,FALSE))," ",VLOOKUP(3,M7:N58,2,FALSE))</f>
        <v>57253</v>
      </c>
      <c r="M26" s="203"/>
      <c r="N26" s="203"/>
    </row>
    <row r="27" spans="1:14" x14ac:dyDescent="0.25">
      <c r="A27" s="51"/>
      <c r="B27" s="52"/>
      <c r="C27" s="51"/>
      <c r="D27" s="55" t="str">
        <f>IF(ISBLANK(C27),"",VLOOKUP(C27,Bilan!$F$6:$G$25,2,FALSE))</f>
        <v/>
      </c>
      <c r="E27" s="65"/>
      <c r="F27" s="65"/>
      <c r="I27" s="68">
        <f t="shared" si="0"/>
        <v>27</v>
      </c>
      <c r="J27" s="58" t="s">
        <v>271</v>
      </c>
      <c r="K27" s="55" t="str">
        <f>IF(ISERROR(VLOOKUP(4,M7:N58,2,FALSE))," ",VLOOKUP(4,M7:N58,2,FALSE))</f>
        <v xml:space="preserve"> </v>
      </c>
      <c r="M27" s="203"/>
      <c r="N27" s="203"/>
    </row>
    <row r="28" spans="1:14" x14ac:dyDescent="0.25">
      <c r="A28" s="51"/>
      <c r="B28" s="52"/>
      <c r="C28" s="51"/>
      <c r="D28" s="55" t="str">
        <f>IF(ISBLANK(C28),"",VLOOKUP(C28,Bilan!$F$6:$G$25,2,FALSE))</f>
        <v/>
      </c>
      <c r="E28" s="65"/>
      <c r="F28" s="65"/>
      <c r="I28" s="68">
        <f t="shared" si="0"/>
        <v>28</v>
      </c>
      <c r="J28" s="58" t="s">
        <v>272</v>
      </c>
      <c r="K28" s="55" t="str">
        <f>IF(ISERROR(VLOOKUP(5,M7:N58,2,FALSE))," ",VLOOKUP(5,M7:N58,2,FALSE))</f>
        <v xml:space="preserve"> </v>
      </c>
      <c r="M28" s="203"/>
      <c r="N28" s="203"/>
    </row>
    <row r="29" spans="1:14" x14ac:dyDescent="0.25">
      <c r="A29" s="51"/>
      <c r="B29" s="52"/>
      <c r="C29" s="51"/>
      <c r="D29" s="55" t="str">
        <f>IF(ISBLANK(C29),"",VLOOKUP(C29,Bilan!$F$6:$G$25,2,FALSE))</f>
        <v/>
      </c>
      <c r="E29" s="65"/>
      <c r="F29" s="65"/>
      <c r="I29" s="68">
        <f t="shared" si="0"/>
        <v>29</v>
      </c>
      <c r="J29" s="58" t="s">
        <v>19</v>
      </c>
      <c r="K29" s="55">
        <v>300050</v>
      </c>
      <c r="M29" s="203"/>
      <c r="N29" s="203"/>
    </row>
    <row r="30" spans="1:14" x14ac:dyDescent="0.25">
      <c r="A30" s="51"/>
      <c r="B30" s="52"/>
      <c r="C30" s="51"/>
      <c r="D30" s="55" t="str">
        <f>IF(ISBLANK(C30),"",VLOOKUP(C30,Bilan!$F$6:$G$25,2,FALSE))</f>
        <v/>
      </c>
      <c r="E30" s="65"/>
      <c r="F30" s="65"/>
      <c r="I30" s="68">
        <f t="shared" si="0"/>
        <v>30</v>
      </c>
      <c r="J30" s="58" t="s">
        <v>275</v>
      </c>
      <c r="K30" s="55" t="s">
        <v>483</v>
      </c>
      <c r="M30" s="203"/>
      <c r="N30" s="203"/>
    </row>
    <row r="31" spans="1:14" x14ac:dyDescent="0.25">
      <c r="A31" s="48"/>
      <c r="B31" s="48"/>
      <c r="C31" s="48"/>
      <c r="D31" s="58" t="str">
        <f>IF(ISBLANK(C31),"",VLOOKUP(C31,Bilan!$F$6:$G$25,2,FALSE))</f>
        <v/>
      </c>
      <c r="E31" s="65"/>
      <c r="F31" s="65"/>
      <c r="I31" s="68">
        <f t="shared" si="0"/>
        <v>31</v>
      </c>
      <c r="J31" s="58" t="s">
        <v>276</v>
      </c>
      <c r="K31" s="55">
        <f>IF(ISBLANK(A15),0,1)</f>
        <v>1</v>
      </c>
      <c r="M31" s="203"/>
      <c r="N31" s="203"/>
    </row>
    <row r="32" spans="1:14" x14ac:dyDescent="0.25">
      <c r="A32" s="48"/>
      <c r="B32" s="48"/>
      <c r="C32" s="48"/>
      <c r="D32" s="58" t="str">
        <f>IF(ISBLANK(C32),"",VLOOKUP(C32,Bilan!$F$6:$G$25,2,FALSE))</f>
        <v/>
      </c>
      <c r="E32" s="65"/>
      <c r="F32" s="65"/>
      <c r="M32" s="203"/>
      <c r="N32" s="203"/>
    </row>
    <row r="33" spans="1:14" x14ac:dyDescent="0.25">
      <c r="A33" s="48"/>
      <c r="B33" s="48"/>
      <c r="C33" s="48"/>
      <c r="D33" s="58" t="str">
        <f>IF(ISBLANK(C33),"",VLOOKUP(C33,Bilan!$F$6:$G$25,2,FALSE))</f>
        <v/>
      </c>
      <c r="E33" s="65"/>
      <c r="F33" s="65"/>
      <c r="M33" s="203"/>
      <c r="N33" s="203"/>
    </row>
    <row r="34" spans="1:14" x14ac:dyDescent="0.25">
      <c r="A34" s="48"/>
      <c r="B34" s="48"/>
      <c r="C34" s="48"/>
      <c r="D34" s="58" t="str">
        <f>IF(ISBLANK(C34),"",VLOOKUP(C34,Bilan!$F$6:$G$25,2,FALSE))</f>
        <v/>
      </c>
      <c r="E34" s="65"/>
      <c r="F34" s="65"/>
      <c r="M34" s="203"/>
      <c r="N34" s="203"/>
    </row>
    <row r="35" spans="1:14" x14ac:dyDescent="0.25">
      <c r="A35" s="48"/>
      <c r="B35" s="48"/>
      <c r="C35" s="48"/>
      <c r="D35" s="58" t="str">
        <f>IF(ISBLANK(C35),"",VLOOKUP(C35,Bilan!$F$6:$G$25,2,FALSE))</f>
        <v/>
      </c>
      <c r="E35" s="65"/>
      <c r="F35" s="65"/>
      <c r="M35" s="203"/>
      <c r="N35" s="203"/>
    </row>
    <row r="36" spans="1:14" x14ac:dyDescent="0.25">
      <c r="A36" s="48"/>
      <c r="B36" s="48"/>
      <c r="C36" s="48"/>
      <c r="D36" s="58" t="str">
        <f>IF(ISBLANK(C36),"",VLOOKUP(C36,Bilan!$F$6:$G$25,2,FALSE))</f>
        <v/>
      </c>
      <c r="E36" s="65"/>
      <c r="F36" s="65"/>
      <c r="M36" s="203"/>
      <c r="N36" s="203"/>
    </row>
    <row r="37" spans="1:14" x14ac:dyDescent="0.25">
      <c r="A37" s="48"/>
      <c r="B37" s="48"/>
      <c r="C37" s="48"/>
      <c r="D37" s="58" t="str">
        <f>IF(ISBLANK(C37),"",VLOOKUP(C37,Bilan!$F$6:$G$25,2,FALSE))</f>
        <v/>
      </c>
      <c r="E37" s="65"/>
      <c r="F37" s="65"/>
      <c r="M37" s="203"/>
      <c r="N37" s="203"/>
    </row>
    <row r="38" spans="1:14" x14ac:dyDescent="0.25">
      <c r="A38" s="48"/>
      <c r="B38" s="48"/>
      <c r="C38" s="48"/>
      <c r="D38" s="58" t="str">
        <f>IF(ISBLANK(C38),"",VLOOKUP(C38,Bilan!$F$6:$G$25,2,FALSE))</f>
        <v/>
      </c>
      <c r="E38" s="65"/>
      <c r="F38" s="65"/>
      <c r="M38" s="203"/>
      <c r="N38" s="203"/>
    </row>
    <row r="39" spans="1:14" x14ac:dyDescent="0.25">
      <c r="A39" s="48"/>
      <c r="B39" s="48"/>
      <c r="C39" s="48"/>
      <c r="D39" s="58" t="str">
        <f>IF(ISBLANK(C39),"",VLOOKUP(C39,Bilan!$F$6:$G$25,2,FALSE))</f>
        <v/>
      </c>
      <c r="E39" s="65"/>
      <c r="F39" s="65"/>
      <c r="M39" s="203"/>
      <c r="N39" s="203"/>
    </row>
    <row r="40" spans="1:14" x14ac:dyDescent="0.25">
      <c r="A40" s="48"/>
      <c r="B40" s="48"/>
      <c r="C40" s="48"/>
      <c r="D40" s="58" t="str">
        <f>IF(ISBLANK(C40),"",VLOOKUP(C40,Bilan!$F$6:$G$25,2,FALSE))</f>
        <v/>
      </c>
      <c r="E40" s="65"/>
      <c r="F40" s="65"/>
      <c r="M40" s="203"/>
      <c r="N40" s="203"/>
    </row>
    <row r="41" spans="1:14" x14ac:dyDescent="0.25">
      <c r="A41" s="48"/>
      <c r="B41" s="48"/>
      <c r="C41" s="48"/>
      <c r="D41" s="58" t="str">
        <f>IF(ISBLANK(C41),"",VLOOKUP(C41,Bilan!$F$6:$G$25,2,FALSE))</f>
        <v/>
      </c>
      <c r="E41" s="65"/>
      <c r="F41" s="65"/>
      <c r="M41" s="203"/>
      <c r="N41" s="203"/>
    </row>
    <row r="42" spans="1:14" x14ac:dyDescent="0.25">
      <c r="A42" s="48"/>
      <c r="B42" s="48"/>
      <c r="C42" s="48"/>
      <c r="D42" s="58" t="str">
        <f>IF(ISBLANK(C42),"",VLOOKUP(C42,Bilan!$F$6:$G$25,2,FALSE))</f>
        <v/>
      </c>
      <c r="E42" s="65"/>
      <c r="F42" s="65"/>
      <c r="M42" s="203"/>
      <c r="N42" s="203"/>
    </row>
    <row r="43" spans="1:14" x14ac:dyDescent="0.25">
      <c r="A43" s="48"/>
      <c r="B43" s="48"/>
      <c r="C43" s="48"/>
      <c r="D43" s="58" t="str">
        <f>IF(ISBLANK(C43),"",VLOOKUP(C43,Bilan!$F$6:$G$25,2,FALSE))</f>
        <v/>
      </c>
      <c r="E43" s="65"/>
      <c r="F43" s="65"/>
      <c r="M43" s="203"/>
      <c r="N43" s="203"/>
    </row>
    <row r="44" spans="1:14" x14ac:dyDescent="0.25">
      <c r="A44" s="48"/>
      <c r="B44" s="48"/>
      <c r="C44" s="48"/>
      <c r="D44" s="58" t="str">
        <f>IF(ISBLANK(C44),"",VLOOKUP(C44,Bilan!$F$6:$G$25,2,FALSE))</f>
        <v/>
      </c>
      <c r="E44" s="65"/>
      <c r="F44" s="65"/>
      <c r="M44" s="203"/>
      <c r="N44" s="203"/>
    </row>
    <row r="45" spans="1:14" x14ac:dyDescent="0.25">
      <c r="A45" s="48"/>
      <c r="B45" s="48"/>
      <c r="C45" s="48"/>
      <c r="D45" s="58" t="str">
        <f>IF(ISBLANK(C45),"",VLOOKUP(C45,Bilan!$F$6:$G$25,2,FALSE))</f>
        <v/>
      </c>
      <c r="E45" s="65"/>
      <c r="F45" s="65"/>
      <c r="M45" s="203"/>
      <c r="N45" s="203"/>
    </row>
    <row r="46" spans="1:14" x14ac:dyDescent="0.25">
      <c r="A46" s="48"/>
      <c r="B46" s="48"/>
      <c r="C46" s="48"/>
      <c r="D46" s="58" t="str">
        <f>IF(ISBLANK(C46),"",VLOOKUP(C46,Bilan!$F$6:$G$25,2,FALSE))</f>
        <v/>
      </c>
      <c r="E46" s="65"/>
      <c r="F46" s="65"/>
      <c r="M46" s="203"/>
      <c r="N46" s="203"/>
    </row>
    <row r="47" spans="1:14" x14ac:dyDescent="0.25">
      <c r="A47" s="48"/>
      <c r="B47" s="48"/>
      <c r="C47" s="48"/>
      <c r="D47" s="58" t="str">
        <f>IF(ISBLANK(C47),"",VLOOKUP(C47,Bilan!$F$6:$G$25,2,FALSE))</f>
        <v/>
      </c>
      <c r="E47" s="65"/>
      <c r="F47" s="65"/>
      <c r="M47" s="203"/>
      <c r="N47" s="203"/>
    </row>
    <row r="48" spans="1:14" x14ac:dyDescent="0.25">
      <c r="A48" s="48"/>
      <c r="B48" s="48"/>
      <c r="C48" s="48"/>
      <c r="D48" s="58" t="str">
        <f>IF(ISBLANK(C48),"",VLOOKUP(C48,Bilan!$F$6:$G$25,2,FALSE))</f>
        <v/>
      </c>
      <c r="E48" s="65"/>
      <c r="F48" s="65"/>
      <c r="M48" s="203"/>
      <c r="N48" s="203"/>
    </row>
    <row r="49" spans="1:14" x14ac:dyDescent="0.25">
      <c r="A49" s="48"/>
      <c r="B49" s="48"/>
      <c r="C49" s="48"/>
      <c r="D49" s="58" t="str">
        <f>IF(ISBLANK(C49),"",VLOOKUP(C49,Bilan!$F$6:$G$25,2,FALSE))</f>
        <v/>
      </c>
      <c r="E49" s="65"/>
      <c r="F49" s="65"/>
      <c r="M49" s="203"/>
      <c r="N49" s="203"/>
    </row>
    <row r="50" spans="1:14" x14ac:dyDescent="0.25">
      <c r="A50" s="48"/>
      <c r="B50" s="48"/>
      <c r="C50" s="48"/>
      <c r="D50" s="58" t="str">
        <f>IF(ISBLANK(C50),"",VLOOKUP(C50,Bilan!$F$6:$G$25,2,FALSE))</f>
        <v/>
      </c>
      <c r="E50" s="65"/>
      <c r="F50" s="65"/>
      <c r="M50" s="203"/>
      <c r="N50" s="203"/>
    </row>
    <row r="51" spans="1:14" x14ac:dyDescent="0.25">
      <c r="A51" s="48"/>
      <c r="B51" s="48"/>
      <c r="C51" s="48"/>
      <c r="D51" s="58" t="str">
        <f>IF(ISBLANK(C51),"",VLOOKUP(C51,Bilan!$F$6:$G$25,2,FALSE))</f>
        <v/>
      </c>
      <c r="E51" s="65"/>
      <c r="F51" s="65"/>
      <c r="M51" s="203"/>
      <c r="N51" s="203"/>
    </row>
    <row r="52" spans="1:14" x14ac:dyDescent="0.25">
      <c r="A52" s="48"/>
      <c r="B52" s="48"/>
      <c r="C52" s="48"/>
      <c r="D52" s="58" t="str">
        <f>IF(ISBLANK(C52),"",VLOOKUP(C52,Bilan!$F$6:$G$25,2,FALSE))</f>
        <v/>
      </c>
      <c r="E52" s="65"/>
      <c r="F52" s="65"/>
      <c r="M52" s="203"/>
      <c r="N52" s="203"/>
    </row>
    <row r="53" spans="1:14" x14ac:dyDescent="0.25">
      <c r="A53" s="48"/>
      <c r="B53" s="48"/>
      <c r="C53" s="48"/>
      <c r="D53" s="58" t="str">
        <f>IF(ISBLANK(C53),"",VLOOKUP(C53,Bilan!$F$6:$G$25,2,FALSE))</f>
        <v/>
      </c>
      <c r="E53" s="65"/>
      <c r="F53" s="65"/>
      <c r="M53" s="203"/>
      <c r="N53" s="203"/>
    </row>
    <row r="54" spans="1:14" x14ac:dyDescent="0.25">
      <c r="A54" s="48"/>
      <c r="B54" s="48"/>
      <c r="C54" s="48"/>
      <c r="D54" s="58" t="str">
        <f>IF(ISBLANK(C54),"",VLOOKUP(C54,Bilan!$F$6:$G$25,2,FALSE))</f>
        <v/>
      </c>
      <c r="E54" s="65"/>
      <c r="F54" s="65"/>
      <c r="M54" s="203"/>
      <c r="N54" s="203"/>
    </row>
    <row r="55" spans="1:14" x14ac:dyDescent="0.25">
      <c r="A55" s="48"/>
      <c r="B55" s="48"/>
      <c r="C55" s="48"/>
      <c r="D55" s="58" t="str">
        <f>IF(ISBLANK(C55),"",VLOOKUP(C55,Bilan!$F$6:$G$25,2,FALSE))</f>
        <v/>
      </c>
      <c r="E55" s="65"/>
      <c r="F55" s="65"/>
      <c r="M55" s="203"/>
      <c r="N55" s="203"/>
    </row>
    <row r="56" spans="1:14" x14ac:dyDescent="0.25">
      <c r="A56" s="48"/>
      <c r="B56" s="48"/>
      <c r="C56" s="48"/>
      <c r="D56" s="58" t="str">
        <f>IF(ISBLANK(C56),"",VLOOKUP(C56,Bilan!$F$6:$G$25,2,FALSE))</f>
        <v/>
      </c>
      <c r="E56" s="65"/>
      <c r="F56" s="65"/>
      <c r="M56" s="203"/>
      <c r="N56" s="203"/>
    </row>
    <row r="57" spans="1:14" x14ac:dyDescent="0.25">
      <c r="M57" s="203"/>
      <c r="N57" s="203"/>
    </row>
    <row r="58" spans="1:14" x14ac:dyDescent="0.25">
      <c r="M58" s="203"/>
      <c r="N58" s="203"/>
    </row>
  </sheetData>
  <sheetProtection password="C736" sheet="1" objects="1" scenarios="1"/>
  <sortState ref="N7:N18">
    <sortCondition ref="N7"/>
  </sortState>
  <conditionalFormatting sqref="B2:B4">
    <cfRule type="expression" dxfId="23" priority="8">
      <formula>LEN(TRIM(B2:B4))=0</formula>
    </cfRule>
  </conditionalFormatting>
  <conditionalFormatting sqref="A7:C7">
    <cfRule type="expression" dxfId="22" priority="7">
      <formula>LEN(TRIM(A7:C7))=0</formula>
    </cfRule>
  </conditionalFormatting>
  <conditionalFormatting sqref="E7:F7">
    <cfRule type="expression" dxfId="21" priority="6">
      <formula>LEN(TRIM(E7:F7))=0</formula>
    </cfRule>
  </conditionalFormatting>
  <dataValidations count="2">
    <dataValidation type="list" allowBlank="1" showInputMessage="1" showErrorMessage="1" sqref="F7:F56">
      <formula1>INDIRECT(E7)</formula1>
    </dataValidation>
    <dataValidation type="list" allowBlank="1" showInputMessage="1" showErrorMessage="1" sqref="E7:E56">
      <formula1>groupe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Membres!$A$6:$A$41</xm:f>
          </x14:formula1>
          <xm:sqref>B2</xm:sqref>
        </x14:dataValidation>
        <x14:dataValidation type="list" allowBlank="1" showInputMessage="1" showErrorMessage="1">
          <x14:formula1>
            <xm:f>Bilan!$F$6:$F$19</xm:f>
          </x14:formula1>
          <xm:sqref>C7:C14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/>
  <dimension ref="A1:N58"/>
  <sheetViews>
    <sheetView workbookViewId="0">
      <selection activeCell="B1" sqref="B1"/>
    </sheetView>
  </sheetViews>
  <sheetFormatPr baseColWidth="10" defaultRowHeight="15" x14ac:dyDescent="0.25"/>
  <cols>
    <col min="1" max="1" width="22.85546875" style="213" customWidth="1"/>
    <col min="2" max="2" width="16.85546875" style="213" bestFit="1" customWidth="1"/>
    <col min="3" max="3" width="19.140625" style="213" customWidth="1"/>
    <col min="4" max="4" width="7.7109375" style="213" bestFit="1" customWidth="1"/>
    <col min="5" max="5" width="23" style="213" customWidth="1"/>
    <col min="6" max="6" width="23.5703125" style="213" customWidth="1"/>
    <col min="7" max="7" width="22.42578125" style="213" bestFit="1" customWidth="1"/>
    <col min="8" max="8" width="17.85546875" style="213" customWidth="1"/>
    <col min="9" max="9" width="2.85546875" style="213" customWidth="1"/>
    <col min="10" max="10" width="24.42578125" style="213" bestFit="1" customWidth="1"/>
    <col min="11" max="11" width="11.42578125" style="213"/>
  </cols>
  <sheetData>
    <row r="1" spans="1:14" x14ac:dyDescent="0.25">
      <c r="A1" s="161" t="s">
        <v>274</v>
      </c>
      <c r="B1" s="55" t="s">
        <v>515</v>
      </c>
      <c r="I1" s="68">
        <v>1</v>
      </c>
      <c r="J1" s="58" t="s">
        <v>251</v>
      </c>
      <c r="K1" s="55" t="str">
        <f>VLOOKUP(B2,Membres!A6:R200,3,FALSE)</f>
        <v>Mikaël</v>
      </c>
    </row>
    <row r="2" spans="1:14" x14ac:dyDescent="0.25">
      <c r="A2" s="161" t="s">
        <v>244</v>
      </c>
      <c r="B2" s="210" t="s">
        <v>516</v>
      </c>
      <c r="I2" s="68">
        <f t="shared" ref="I2:I31" si="0">I1+1</f>
        <v>2</v>
      </c>
      <c r="J2" s="58" t="s">
        <v>248</v>
      </c>
      <c r="K2" s="55" t="str">
        <f>VLOOKUP(B2,Membres!A6:R200,2,FALSE)</f>
        <v>Ferland</v>
      </c>
    </row>
    <row r="3" spans="1:14" x14ac:dyDescent="0.25">
      <c r="A3" s="161" t="s">
        <v>13</v>
      </c>
      <c r="B3" s="210" t="s">
        <v>517</v>
      </c>
      <c r="I3" s="68">
        <f t="shared" si="0"/>
        <v>3</v>
      </c>
      <c r="J3" s="58" t="s">
        <v>252</v>
      </c>
      <c r="K3" s="55" t="s">
        <v>484</v>
      </c>
    </row>
    <row r="4" spans="1:14" x14ac:dyDescent="0.25">
      <c r="A4" s="161" t="s">
        <v>257</v>
      </c>
      <c r="B4" s="52">
        <v>0</v>
      </c>
      <c r="I4" s="68">
        <f t="shared" si="0"/>
        <v>4</v>
      </c>
      <c r="J4" s="58" t="s">
        <v>253</v>
      </c>
      <c r="K4" s="55" t="str">
        <f>VLOOKUP(B2,Membres!A6:R200,4,FALSE)</f>
        <v>FERM23108700</v>
      </c>
    </row>
    <row r="5" spans="1:14" x14ac:dyDescent="0.25">
      <c r="I5" s="68">
        <f t="shared" si="0"/>
        <v>5</v>
      </c>
      <c r="J5" s="58" t="s">
        <v>16</v>
      </c>
      <c r="K5" s="57">
        <v>42649</v>
      </c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H6" s="220"/>
      <c r="I6" s="68">
        <f t="shared" si="0"/>
        <v>6</v>
      </c>
      <c r="J6" s="58" t="s">
        <v>277</v>
      </c>
      <c r="K6" s="55" t="str">
        <f>VLOOKUP(B2,Membres!A6:R200,6,FALSE)</f>
        <v>(514) 220-2572</v>
      </c>
    </row>
    <row r="7" spans="1:14" x14ac:dyDescent="0.25">
      <c r="A7" s="209" t="s">
        <v>518</v>
      </c>
      <c r="B7" s="164">
        <v>36</v>
      </c>
      <c r="C7" s="210" t="s">
        <v>4</v>
      </c>
      <c r="D7" s="60">
        <f>IF(ISBLANK(C7),"",VLOOKUP(C7,Bilan!$F$6:$G$25,2,FALSE))</f>
        <v>53111</v>
      </c>
      <c r="E7" s="65"/>
      <c r="F7" s="65"/>
      <c r="H7" s="220"/>
      <c r="I7" s="68">
        <f t="shared" si="0"/>
        <v>7</v>
      </c>
      <c r="J7" s="58" t="s">
        <v>254</v>
      </c>
      <c r="K7" s="55" t="s">
        <v>155</v>
      </c>
      <c r="M7" s="203">
        <f>1</f>
        <v>1</v>
      </c>
      <c r="N7" s="203">
        <v>53111</v>
      </c>
    </row>
    <row r="8" spans="1:14" x14ac:dyDescent="0.25">
      <c r="A8" s="209" t="s">
        <v>519</v>
      </c>
      <c r="B8" s="164">
        <v>35.619999999999997</v>
      </c>
      <c r="C8" s="210" t="s">
        <v>6</v>
      </c>
      <c r="D8" s="60">
        <f>IF(ISBLANK(C8),"",VLOOKUP(C8,Bilan!$F$6:$G$25,2,FALSE))</f>
        <v>53212</v>
      </c>
      <c r="E8" s="65"/>
      <c r="F8" s="65"/>
      <c r="H8" s="220"/>
      <c r="I8" s="68">
        <f t="shared" si="0"/>
        <v>8</v>
      </c>
      <c r="J8" s="58" t="s">
        <v>255</v>
      </c>
      <c r="K8" s="55" t="s">
        <v>485</v>
      </c>
      <c r="M8" s="203">
        <f>IF(N8=N7,M7,M7+1)</f>
        <v>2</v>
      </c>
      <c r="N8" s="203">
        <v>53212</v>
      </c>
    </row>
    <row r="9" spans="1:14" x14ac:dyDescent="0.25">
      <c r="A9" s="210"/>
      <c r="B9" s="52"/>
      <c r="C9" s="210"/>
      <c r="D9" s="60" t="str">
        <f>IF(ISBLANK(C9),"",VLOOKUP(C9,Bilan!$F$6:$G$25,2,FALSE))</f>
        <v/>
      </c>
      <c r="E9" s="65"/>
      <c r="F9" s="65"/>
      <c r="I9" s="68">
        <f t="shared" si="0"/>
        <v>9</v>
      </c>
      <c r="J9" s="58" t="s">
        <v>256</v>
      </c>
      <c r="K9" s="193">
        <f>K18-B4</f>
        <v>71.62</v>
      </c>
      <c r="M9" s="203">
        <f>IF(N9=N8,M8,M8+1)</f>
        <v>3</v>
      </c>
      <c r="N9" s="203"/>
    </row>
    <row r="10" spans="1:14" x14ac:dyDescent="0.25">
      <c r="A10" s="210"/>
      <c r="B10" s="52"/>
      <c r="C10" s="210"/>
      <c r="D10" s="60" t="str">
        <f>IF(ISBLANK(C10),"",VLOOKUP(C10,Bilan!$F$6:$G$25,2,FALSE))</f>
        <v/>
      </c>
      <c r="E10" s="65"/>
      <c r="F10" s="65"/>
      <c r="I10" s="68">
        <f t="shared" si="0"/>
        <v>10</v>
      </c>
      <c r="J10" s="58" t="s">
        <v>258</v>
      </c>
      <c r="K10" s="55" t="str">
        <f>B2</f>
        <v>Mikaël Ferland</v>
      </c>
      <c r="M10" s="203"/>
      <c r="N10" s="203"/>
    </row>
    <row r="11" spans="1:14" x14ac:dyDescent="0.25">
      <c r="A11" s="210"/>
      <c r="B11" s="52"/>
      <c r="C11" s="210"/>
      <c r="D11" s="60" t="str">
        <f>IF(ISBLANK(C11),"",VLOOKUP(C11,Bilan!$F$6:$G$25,2,FALSE))</f>
        <v/>
      </c>
      <c r="E11" s="65"/>
      <c r="F11" s="65"/>
      <c r="I11" s="68">
        <f t="shared" si="0"/>
        <v>11</v>
      </c>
      <c r="J11" s="58" t="s">
        <v>259</v>
      </c>
      <c r="K11" s="55"/>
      <c r="M11" s="203"/>
      <c r="N11" s="203"/>
    </row>
    <row r="12" spans="1:14" x14ac:dyDescent="0.25">
      <c r="A12" s="210"/>
      <c r="B12" s="52"/>
      <c r="C12" s="210"/>
      <c r="D12" s="60" t="str">
        <f>IF(ISBLANK(C12),"",VLOOKUP(C12,Bilan!$F$6:$G$25,2,FALSE))</f>
        <v/>
      </c>
      <c r="E12" s="65"/>
      <c r="F12" s="65"/>
      <c r="I12" s="68">
        <f t="shared" si="0"/>
        <v>12</v>
      </c>
      <c r="J12" s="58" t="s">
        <v>260</v>
      </c>
      <c r="K12" s="55"/>
      <c r="M12" s="203"/>
      <c r="N12" s="203"/>
    </row>
    <row r="13" spans="1:14" x14ac:dyDescent="0.25">
      <c r="A13" s="210"/>
      <c r="B13" s="52"/>
      <c r="C13" s="210"/>
      <c r="D13" s="55" t="str">
        <f>IF(ISBLANK(C13),"",VLOOKUP(C13,Bilan!$F$6:$G$25,2,FALSE))</f>
        <v/>
      </c>
      <c r="E13" s="65"/>
      <c r="F13" s="65"/>
      <c r="I13" s="68">
        <f t="shared" si="0"/>
        <v>13</v>
      </c>
      <c r="J13" s="58" t="s">
        <v>249</v>
      </c>
      <c r="K13" s="55" t="str">
        <f>VLOOKUP(B2,Membres!A6:R200,8,FALSE)</f>
        <v>5370 avenue Jeanne d'arc</v>
      </c>
      <c r="M13" s="203"/>
      <c r="N13" s="203"/>
    </row>
    <row r="14" spans="1:14" ht="15.75" thickBot="1" x14ac:dyDescent="0.3">
      <c r="A14" s="211"/>
      <c r="B14" s="190"/>
      <c r="C14" s="211"/>
      <c r="D14" s="191" t="str">
        <f>IF(ISBLANK(C14),"",VLOOKUP(C14,Bilan!$F$6:$G$25,2,FALSE))</f>
        <v/>
      </c>
      <c r="E14" s="192"/>
      <c r="F14" s="192"/>
      <c r="I14" s="68">
        <f t="shared" si="0"/>
        <v>14</v>
      </c>
      <c r="J14" s="58" t="s">
        <v>17</v>
      </c>
      <c r="K14" s="55" t="str">
        <f>VLOOKUP(B2,Membres!A6:R200,11,FALSE)</f>
        <v>Qc</v>
      </c>
      <c r="M14" s="203"/>
      <c r="N14" s="203"/>
    </row>
    <row r="15" spans="1:14" ht="15.75" thickTop="1" x14ac:dyDescent="0.25">
      <c r="A15" s="212"/>
      <c r="B15" s="53"/>
      <c r="C15" s="212"/>
      <c r="D15" s="56" t="str">
        <f>IF(ISBLANK(C15),"",VLOOKUP(C15,Bilan!$F$6:$G$25,2,FALSE))</f>
        <v/>
      </c>
      <c r="E15" s="66"/>
      <c r="F15" s="66"/>
      <c r="I15" s="68">
        <f t="shared" si="0"/>
        <v>15</v>
      </c>
      <c r="J15" s="58" t="s">
        <v>261</v>
      </c>
      <c r="K15" s="55" t="str">
        <f>VLOOKUP(B2,Membres!A6:R200,10,FALSE)</f>
        <v>H1X 2E7</v>
      </c>
      <c r="M15" s="203"/>
      <c r="N15" s="203"/>
    </row>
    <row r="16" spans="1:14" x14ac:dyDescent="0.25">
      <c r="A16" s="210"/>
      <c r="B16" s="52"/>
      <c r="C16" s="210"/>
      <c r="D16" s="55" t="str">
        <f>IF(ISBLANK(C16),"",VLOOKUP(C16,Bilan!$F$6:$G$25,2,FALSE))</f>
        <v/>
      </c>
      <c r="E16" s="65"/>
      <c r="F16" s="65"/>
      <c r="I16" s="68">
        <f t="shared" si="0"/>
        <v>16</v>
      </c>
      <c r="J16" s="58" t="s">
        <v>250</v>
      </c>
      <c r="K16" s="55" t="str">
        <f>VLOOKUP(B2,Membres!A6:R200,9,FALSE)</f>
        <v>Asbestos (Sherbrooke)</v>
      </c>
      <c r="M16" s="203"/>
      <c r="N16" s="203"/>
    </row>
    <row r="17" spans="1:14" x14ac:dyDescent="0.25">
      <c r="A17" s="210"/>
      <c r="B17" s="52"/>
      <c r="C17" s="210"/>
      <c r="D17" s="55" t="str">
        <f>IF(ISBLANK(C17),"",VLOOKUP(C17,Bilan!$F$6:$G$25,2,FALSE))</f>
        <v/>
      </c>
      <c r="E17" s="65"/>
      <c r="F17" s="65"/>
      <c r="I17" s="68">
        <f t="shared" si="0"/>
        <v>17</v>
      </c>
      <c r="J17" s="58" t="s">
        <v>14</v>
      </c>
      <c r="K17" s="55" t="str">
        <f>VLOOKUP(B2,Membres!A6:R200,7,FALSE)</f>
        <v>mikael.ferland.1@etsmtl.net</v>
      </c>
      <c r="M17" s="203"/>
      <c r="N17" s="203"/>
    </row>
    <row r="18" spans="1:14" x14ac:dyDescent="0.25">
      <c r="A18" s="210"/>
      <c r="B18" s="52"/>
      <c r="C18" s="210"/>
      <c r="D18" s="57" t="str">
        <f>IF(ISBLANK(C18),"",VLOOKUP(C18,Bilan!$F$6:$G$25,2,FALSE))</f>
        <v/>
      </c>
      <c r="E18" s="65"/>
      <c r="F18" s="65"/>
      <c r="G18" s="49"/>
      <c r="H18" s="49"/>
      <c r="I18" s="68">
        <f t="shared" si="0"/>
        <v>18</v>
      </c>
      <c r="J18" s="58" t="s">
        <v>262</v>
      </c>
      <c r="K18" s="59">
        <f>SUM(B7:B100)</f>
        <v>71.62</v>
      </c>
      <c r="M18" s="203"/>
      <c r="N18" s="203"/>
    </row>
    <row r="19" spans="1:14" x14ac:dyDescent="0.25">
      <c r="A19" s="210"/>
      <c r="B19" s="52"/>
      <c r="C19" s="210"/>
      <c r="D19" s="55" t="str">
        <f>IF(ISBLANK(C19),"",VLOOKUP(C19,Bilan!$F$6:$G$25,2,FALSE))</f>
        <v/>
      </c>
      <c r="E19" s="65"/>
      <c r="F19" s="65"/>
      <c r="I19" s="68">
        <f t="shared" si="0"/>
        <v>19</v>
      </c>
      <c r="J19" s="58" t="s">
        <v>263</v>
      </c>
      <c r="K19" s="59">
        <f>SUMIFS(B7:B58,D7:D58,K24)</f>
        <v>36</v>
      </c>
      <c r="M19" s="203"/>
      <c r="N19" s="203"/>
    </row>
    <row r="20" spans="1:14" x14ac:dyDescent="0.25">
      <c r="A20" s="210"/>
      <c r="B20" s="52"/>
      <c r="C20" s="210"/>
      <c r="D20" s="55" t="str">
        <f>IF(ISBLANK(C20),"",VLOOKUP(C20,Bilan!$F$6:$G$25,2,FALSE))</f>
        <v/>
      </c>
      <c r="E20" s="65"/>
      <c r="F20" s="65"/>
      <c r="I20" s="68">
        <f t="shared" si="0"/>
        <v>20</v>
      </c>
      <c r="J20" s="58" t="s">
        <v>264</v>
      </c>
      <c r="K20" s="59">
        <f>SUMIFS(B7:B58,D7:D58,K25)</f>
        <v>35.619999999999997</v>
      </c>
      <c r="M20" s="203"/>
      <c r="N20" s="203"/>
    </row>
    <row r="21" spans="1:14" x14ac:dyDescent="0.25">
      <c r="A21" s="210"/>
      <c r="B21" s="52"/>
      <c r="C21" s="210"/>
      <c r="D21" s="55" t="str">
        <f>IF(ISBLANK(C21),"",VLOOKUP(C21,Bilan!$F$6:$G$25,2,FALSE))</f>
        <v/>
      </c>
      <c r="E21" s="65"/>
      <c r="F21" s="65"/>
      <c r="I21" s="68">
        <f t="shared" si="0"/>
        <v>21</v>
      </c>
      <c r="J21" s="58" t="s">
        <v>265</v>
      </c>
      <c r="K21" s="59">
        <f>SUMIFS(B7:B58,D7:D58,K26)</f>
        <v>0</v>
      </c>
      <c r="M21" s="203"/>
      <c r="N21" s="203"/>
    </row>
    <row r="22" spans="1:14" x14ac:dyDescent="0.25">
      <c r="A22" s="210"/>
      <c r="B22" s="52"/>
      <c r="C22" s="210"/>
      <c r="D22" s="55" t="str">
        <f>IF(ISBLANK(C22),"",VLOOKUP(C22,Bilan!$F$6:$G$25,2,FALSE))</f>
        <v/>
      </c>
      <c r="E22" s="65"/>
      <c r="F22" s="65"/>
      <c r="I22" s="68">
        <f t="shared" si="0"/>
        <v>22</v>
      </c>
      <c r="J22" s="58" t="s">
        <v>266</v>
      </c>
      <c r="K22" s="59">
        <f>SUMIFS(B7:B58,D7:D58,K27)</f>
        <v>0</v>
      </c>
      <c r="M22" s="203"/>
      <c r="N22" s="203"/>
    </row>
    <row r="23" spans="1:14" x14ac:dyDescent="0.25">
      <c r="A23" s="210"/>
      <c r="B23" s="52"/>
      <c r="C23" s="210"/>
      <c r="D23" s="55" t="str">
        <f>IF(ISBLANK(C23),"",VLOOKUP(C23,Bilan!$F$6:$G$25,2,FALSE))</f>
        <v/>
      </c>
      <c r="E23" s="65"/>
      <c r="F23" s="65"/>
      <c r="I23" s="68">
        <f t="shared" si="0"/>
        <v>23</v>
      </c>
      <c r="J23" s="58" t="s">
        <v>267</v>
      </c>
      <c r="K23" s="59">
        <f>SUMIFS(B7:B58,D7:D58,K28)</f>
        <v>0</v>
      </c>
      <c r="M23" s="203"/>
      <c r="N23" s="203"/>
    </row>
    <row r="24" spans="1:14" x14ac:dyDescent="0.25">
      <c r="A24" s="210"/>
      <c r="B24" s="52"/>
      <c r="C24" s="210"/>
      <c r="D24" s="55" t="str">
        <f>IF(ISBLANK(C24),"",VLOOKUP(C24,Bilan!$F$6:$G$25,2,FALSE))</f>
        <v/>
      </c>
      <c r="E24" s="65"/>
      <c r="F24" s="65"/>
      <c r="I24" s="68">
        <f t="shared" si="0"/>
        <v>24</v>
      </c>
      <c r="J24" s="58" t="s">
        <v>268</v>
      </c>
      <c r="K24" s="55">
        <f>IF(ISERROR(VLOOKUP(1,M7:N58,2,FALSE))," ",VLOOKUP(1,M7:N58,2,FALSE))</f>
        <v>53111</v>
      </c>
      <c r="M24" s="203"/>
      <c r="N24" s="203"/>
    </row>
    <row r="25" spans="1:14" x14ac:dyDescent="0.25">
      <c r="A25" s="210"/>
      <c r="B25" s="52"/>
      <c r="C25" s="210"/>
      <c r="D25" s="55" t="str">
        <f>IF(ISBLANK(C25),"",VLOOKUP(C25,Bilan!$F$6:$G$25,2,FALSE))</f>
        <v/>
      </c>
      <c r="E25" s="65"/>
      <c r="F25" s="65"/>
      <c r="I25" s="68">
        <f t="shared" si="0"/>
        <v>25</v>
      </c>
      <c r="J25" s="58" t="s">
        <v>269</v>
      </c>
      <c r="K25" s="55">
        <f>IF(ISERROR(VLOOKUP(2,M7:N58,2,FALSE))," ",VLOOKUP(2,M7:N58,2,FALSE))</f>
        <v>53212</v>
      </c>
      <c r="M25" s="203"/>
      <c r="N25" s="203"/>
    </row>
    <row r="26" spans="1:14" x14ac:dyDescent="0.25">
      <c r="A26" s="210"/>
      <c r="B26" s="52"/>
      <c r="C26" s="210"/>
      <c r="D26" s="55" t="str">
        <f>IF(ISBLANK(C26),"",VLOOKUP(C26,Bilan!$F$6:$G$25,2,FALSE))</f>
        <v/>
      </c>
      <c r="E26" s="65"/>
      <c r="F26" s="65"/>
      <c r="I26" s="68">
        <f t="shared" si="0"/>
        <v>26</v>
      </c>
      <c r="J26" s="58" t="s">
        <v>270</v>
      </c>
      <c r="K26" s="55">
        <f>IF(ISERROR(VLOOKUP(3,M7:N58,2,FALSE))," ",VLOOKUP(3,M7:N58,2,FALSE))</f>
        <v>0</v>
      </c>
      <c r="M26" s="203"/>
      <c r="N26" s="203"/>
    </row>
    <row r="27" spans="1:14" x14ac:dyDescent="0.25">
      <c r="A27" s="210"/>
      <c r="B27" s="52"/>
      <c r="C27" s="210"/>
      <c r="D27" s="55" t="str">
        <f>IF(ISBLANK(C27),"",VLOOKUP(C27,Bilan!$F$6:$G$25,2,FALSE))</f>
        <v/>
      </c>
      <c r="E27" s="65"/>
      <c r="F27" s="65"/>
      <c r="I27" s="68">
        <f t="shared" si="0"/>
        <v>27</v>
      </c>
      <c r="J27" s="58" t="s">
        <v>271</v>
      </c>
      <c r="K27" s="55" t="str">
        <f>IF(ISERROR(VLOOKUP(4,M7:N58,2,FALSE))," ",VLOOKUP(4,M7:N58,2,FALSE))</f>
        <v xml:space="preserve"> </v>
      </c>
      <c r="M27" s="203"/>
      <c r="N27" s="203"/>
    </row>
    <row r="28" spans="1:14" x14ac:dyDescent="0.25">
      <c r="A28" s="210"/>
      <c r="B28" s="52"/>
      <c r="C28" s="210"/>
      <c r="D28" s="55" t="str">
        <f>IF(ISBLANK(C28),"",VLOOKUP(C28,Bilan!$F$6:$G$25,2,FALSE))</f>
        <v/>
      </c>
      <c r="E28" s="65"/>
      <c r="F28" s="65"/>
      <c r="I28" s="68">
        <f t="shared" si="0"/>
        <v>28</v>
      </c>
      <c r="J28" s="58" t="s">
        <v>272</v>
      </c>
      <c r="K28" s="55" t="str">
        <f>IF(ISERROR(VLOOKUP(5,M7:N58,2,FALSE))," ",VLOOKUP(5,M7:N58,2,FALSE))</f>
        <v xml:space="preserve"> </v>
      </c>
      <c r="M28" s="203"/>
      <c r="N28" s="203"/>
    </row>
    <row r="29" spans="1:14" x14ac:dyDescent="0.25">
      <c r="A29" s="210"/>
      <c r="B29" s="52"/>
      <c r="C29" s="210"/>
      <c r="D29" s="55" t="str">
        <f>IF(ISBLANK(C29),"",VLOOKUP(C29,Bilan!$F$6:$G$25,2,FALSE))</f>
        <v/>
      </c>
      <c r="E29" s="65"/>
      <c r="F29" s="65"/>
      <c r="I29" s="68">
        <f t="shared" si="0"/>
        <v>29</v>
      </c>
      <c r="J29" s="58" t="s">
        <v>19</v>
      </c>
      <c r="K29" s="55">
        <v>300050</v>
      </c>
      <c r="M29" s="203"/>
      <c r="N29" s="203"/>
    </row>
    <row r="30" spans="1:14" x14ac:dyDescent="0.25">
      <c r="A30" s="210"/>
      <c r="B30" s="52"/>
      <c r="C30" s="210"/>
      <c r="D30" s="55" t="str">
        <f>IF(ISBLANK(C30),"",VLOOKUP(C30,Bilan!$F$6:$G$25,2,FALSE))</f>
        <v/>
      </c>
      <c r="E30" s="65"/>
      <c r="F30" s="65"/>
      <c r="I30" s="68">
        <f t="shared" si="0"/>
        <v>30</v>
      </c>
      <c r="J30" s="58" t="s">
        <v>275</v>
      </c>
      <c r="K30" s="55" t="s">
        <v>483</v>
      </c>
      <c r="M30" s="203"/>
      <c r="N30" s="203"/>
    </row>
    <row r="31" spans="1:14" x14ac:dyDescent="0.25">
      <c r="A31" s="210"/>
      <c r="B31" s="48"/>
      <c r="C31" s="210"/>
      <c r="D31" s="58" t="str">
        <f>IF(ISBLANK(C31),"",VLOOKUP(C31,Bilan!$F$6:$G$25,2,FALSE))</f>
        <v/>
      </c>
      <c r="E31" s="65"/>
      <c r="F31" s="65"/>
      <c r="I31" s="68">
        <f t="shared" si="0"/>
        <v>31</v>
      </c>
      <c r="J31" s="58" t="s">
        <v>276</v>
      </c>
      <c r="K31" s="55">
        <f>IF(ISBLANK(A15),0,1)</f>
        <v>0</v>
      </c>
      <c r="M31" s="203"/>
      <c r="N31" s="203"/>
    </row>
    <row r="32" spans="1:14" x14ac:dyDescent="0.25">
      <c r="A32" s="210"/>
      <c r="B32" s="48"/>
      <c r="C32" s="210"/>
      <c r="D32" s="58" t="str">
        <f>IF(ISBLANK(C32),"",VLOOKUP(C32,Bilan!$F$6:$G$25,2,FALSE))</f>
        <v/>
      </c>
      <c r="E32" s="65"/>
      <c r="F32" s="65"/>
      <c r="M32" s="203"/>
      <c r="N32" s="203"/>
    </row>
    <row r="33" spans="1:14" x14ac:dyDescent="0.25">
      <c r="A33" s="210"/>
      <c r="B33" s="48"/>
      <c r="C33" s="210"/>
      <c r="D33" s="58" t="str">
        <f>IF(ISBLANK(C33),"",VLOOKUP(C33,Bilan!$F$6:$G$25,2,FALSE))</f>
        <v/>
      </c>
      <c r="E33" s="65"/>
      <c r="F33" s="65"/>
      <c r="M33" s="203"/>
      <c r="N33" s="203"/>
    </row>
    <row r="34" spans="1:14" x14ac:dyDescent="0.25">
      <c r="A34" s="210"/>
      <c r="B34" s="48"/>
      <c r="C34" s="210"/>
      <c r="D34" s="58" t="str">
        <f>IF(ISBLANK(C34),"",VLOOKUP(C34,Bilan!$F$6:$G$25,2,FALSE))</f>
        <v/>
      </c>
      <c r="E34" s="65"/>
      <c r="F34" s="65"/>
      <c r="M34" s="203"/>
      <c r="N34" s="203"/>
    </row>
    <row r="35" spans="1:14" x14ac:dyDescent="0.25">
      <c r="A35" s="210"/>
      <c r="B35" s="48"/>
      <c r="C35" s="210"/>
      <c r="D35" s="58" t="str">
        <f>IF(ISBLANK(C35),"",VLOOKUP(C35,Bilan!$F$6:$G$25,2,FALSE))</f>
        <v/>
      </c>
      <c r="E35" s="65"/>
      <c r="F35" s="65"/>
      <c r="M35" s="203"/>
      <c r="N35" s="203"/>
    </row>
    <row r="36" spans="1:14" x14ac:dyDescent="0.25">
      <c r="A36" s="210"/>
      <c r="B36" s="48"/>
      <c r="C36" s="210"/>
      <c r="D36" s="58" t="str">
        <f>IF(ISBLANK(C36),"",VLOOKUP(C36,Bilan!$F$6:$G$25,2,FALSE))</f>
        <v/>
      </c>
      <c r="E36" s="65"/>
      <c r="F36" s="65"/>
      <c r="M36" s="203"/>
      <c r="N36" s="203"/>
    </row>
    <row r="37" spans="1:14" x14ac:dyDescent="0.25">
      <c r="A37" s="210"/>
      <c r="B37" s="48"/>
      <c r="C37" s="210"/>
      <c r="D37" s="58" t="str">
        <f>IF(ISBLANK(C37),"",VLOOKUP(C37,Bilan!$F$6:$G$25,2,FALSE))</f>
        <v/>
      </c>
      <c r="E37" s="65"/>
      <c r="F37" s="65"/>
      <c r="M37" s="203"/>
      <c r="N37" s="203"/>
    </row>
    <row r="38" spans="1:14" x14ac:dyDescent="0.25">
      <c r="A38" s="210"/>
      <c r="B38" s="48"/>
      <c r="C38" s="210"/>
      <c r="D38" s="58" t="str">
        <f>IF(ISBLANK(C38),"",VLOOKUP(C38,Bilan!$F$6:$G$25,2,FALSE))</f>
        <v/>
      </c>
      <c r="E38" s="65"/>
      <c r="F38" s="65"/>
      <c r="M38" s="203"/>
      <c r="N38" s="203"/>
    </row>
    <row r="39" spans="1:14" x14ac:dyDescent="0.25">
      <c r="A39" s="210"/>
      <c r="B39" s="48"/>
      <c r="C39" s="210"/>
      <c r="D39" s="58" t="str">
        <f>IF(ISBLANK(C39),"",VLOOKUP(C39,Bilan!$F$6:$G$25,2,FALSE))</f>
        <v/>
      </c>
      <c r="E39" s="65"/>
      <c r="F39" s="65"/>
      <c r="M39" s="203"/>
      <c r="N39" s="203"/>
    </row>
    <row r="40" spans="1:14" x14ac:dyDescent="0.25">
      <c r="A40" s="210"/>
      <c r="B40" s="48"/>
      <c r="C40" s="210"/>
      <c r="D40" s="58" t="str">
        <f>IF(ISBLANK(C40),"",VLOOKUP(C40,Bilan!$F$6:$G$25,2,FALSE))</f>
        <v/>
      </c>
      <c r="E40" s="65"/>
      <c r="F40" s="65"/>
      <c r="M40" s="203"/>
      <c r="N40" s="203"/>
    </row>
    <row r="41" spans="1:14" x14ac:dyDescent="0.25">
      <c r="A41" s="210"/>
      <c r="B41" s="48"/>
      <c r="C41" s="210"/>
      <c r="D41" s="58" t="str">
        <f>IF(ISBLANK(C41),"",VLOOKUP(C41,Bilan!$F$6:$G$25,2,FALSE))</f>
        <v/>
      </c>
      <c r="E41" s="65"/>
      <c r="F41" s="65"/>
      <c r="M41" s="203"/>
      <c r="N41" s="203"/>
    </row>
    <row r="42" spans="1:14" x14ac:dyDescent="0.25">
      <c r="A42" s="210"/>
      <c r="B42" s="48"/>
      <c r="C42" s="210"/>
      <c r="D42" s="58" t="str">
        <f>IF(ISBLANK(C42),"",VLOOKUP(C42,Bilan!$F$6:$G$25,2,FALSE))</f>
        <v/>
      </c>
      <c r="E42" s="65"/>
      <c r="F42" s="65"/>
      <c r="M42" s="203"/>
      <c r="N42" s="203"/>
    </row>
    <row r="43" spans="1:14" x14ac:dyDescent="0.25">
      <c r="A43" s="210"/>
      <c r="B43" s="48"/>
      <c r="C43" s="210"/>
      <c r="D43" s="58" t="str">
        <f>IF(ISBLANK(C43),"",VLOOKUP(C43,Bilan!$F$6:$G$25,2,FALSE))</f>
        <v/>
      </c>
      <c r="E43" s="65"/>
      <c r="F43" s="65"/>
      <c r="M43" s="203"/>
      <c r="N43" s="203"/>
    </row>
    <row r="44" spans="1:14" x14ac:dyDescent="0.25">
      <c r="A44" s="210"/>
      <c r="B44" s="48"/>
      <c r="C44" s="210"/>
      <c r="D44" s="58" t="str">
        <f>IF(ISBLANK(C44),"",VLOOKUP(C44,Bilan!$F$6:$G$25,2,FALSE))</f>
        <v/>
      </c>
      <c r="E44" s="65"/>
      <c r="F44" s="65"/>
      <c r="M44" s="203"/>
      <c r="N44" s="203"/>
    </row>
    <row r="45" spans="1:14" x14ac:dyDescent="0.25">
      <c r="A45" s="210"/>
      <c r="B45" s="48"/>
      <c r="C45" s="210"/>
      <c r="D45" s="58" t="str">
        <f>IF(ISBLANK(C45),"",VLOOKUP(C45,Bilan!$F$6:$G$25,2,FALSE))</f>
        <v/>
      </c>
      <c r="E45" s="65"/>
      <c r="F45" s="65"/>
      <c r="M45" s="203"/>
      <c r="N45" s="203"/>
    </row>
    <row r="46" spans="1:14" x14ac:dyDescent="0.25">
      <c r="A46" s="210"/>
      <c r="B46" s="48"/>
      <c r="C46" s="210"/>
      <c r="D46" s="58" t="str">
        <f>IF(ISBLANK(C46),"",VLOOKUP(C46,Bilan!$F$6:$G$25,2,FALSE))</f>
        <v/>
      </c>
      <c r="E46" s="65"/>
      <c r="F46" s="65"/>
      <c r="M46" s="203"/>
      <c r="N46" s="203"/>
    </row>
    <row r="47" spans="1:14" x14ac:dyDescent="0.25">
      <c r="A47" s="210"/>
      <c r="B47" s="48"/>
      <c r="C47" s="210"/>
      <c r="D47" s="58" t="str">
        <f>IF(ISBLANK(C47),"",VLOOKUP(C47,Bilan!$F$6:$G$25,2,FALSE))</f>
        <v/>
      </c>
      <c r="E47" s="65"/>
      <c r="F47" s="65"/>
      <c r="M47" s="203"/>
      <c r="N47" s="203"/>
    </row>
    <row r="48" spans="1:14" x14ac:dyDescent="0.25">
      <c r="A48" s="210"/>
      <c r="B48" s="48"/>
      <c r="C48" s="210"/>
      <c r="D48" s="58" t="str">
        <f>IF(ISBLANK(C48),"",VLOOKUP(C48,Bilan!$F$6:$G$25,2,FALSE))</f>
        <v/>
      </c>
      <c r="E48" s="65"/>
      <c r="F48" s="65"/>
      <c r="M48" s="203"/>
      <c r="N48" s="203"/>
    </row>
    <row r="49" spans="1:14" x14ac:dyDescent="0.25">
      <c r="A49" s="210"/>
      <c r="B49" s="48"/>
      <c r="C49" s="210"/>
      <c r="D49" s="58" t="str">
        <f>IF(ISBLANK(C49),"",VLOOKUP(C49,Bilan!$F$6:$G$25,2,FALSE))</f>
        <v/>
      </c>
      <c r="E49" s="65"/>
      <c r="F49" s="65"/>
      <c r="M49" s="203"/>
      <c r="N49" s="203"/>
    </row>
    <row r="50" spans="1:14" x14ac:dyDescent="0.25">
      <c r="A50" s="210"/>
      <c r="B50" s="48"/>
      <c r="C50" s="210"/>
      <c r="D50" s="58" t="str">
        <f>IF(ISBLANK(C50),"",VLOOKUP(C50,Bilan!$F$6:$G$25,2,FALSE))</f>
        <v/>
      </c>
      <c r="E50" s="65"/>
      <c r="F50" s="65"/>
      <c r="M50" s="203"/>
      <c r="N50" s="203"/>
    </row>
    <row r="51" spans="1:14" x14ac:dyDescent="0.25">
      <c r="A51" s="210"/>
      <c r="B51" s="48"/>
      <c r="C51" s="210"/>
      <c r="D51" s="58" t="str">
        <f>IF(ISBLANK(C51),"",VLOOKUP(C51,Bilan!$F$6:$G$25,2,FALSE))</f>
        <v/>
      </c>
      <c r="E51" s="65"/>
      <c r="F51" s="65"/>
      <c r="M51" s="203"/>
      <c r="N51" s="203"/>
    </row>
    <row r="52" spans="1:14" x14ac:dyDescent="0.25">
      <c r="A52" s="210"/>
      <c r="B52" s="48"/>
      <c r="C52" s="210"/>
      <c r="D52" s="58" t="str">
        <f>IF(ISBLANK(C52),"",VLOOKUP(C52,Bilan!$F$6:$G$25,2,FALSE))</f>
        <v/>
      </c>
      <c r="E52" s="65"/>
      <c r="F52" s="65"/>
      <c r="M52" s="203"/>
      <c r="N52" s="203"/>
    </row>
    <row r="53" spans="1:14" x14ac:dyDescent="0.25">
      <c r="A53" s="210"/>
      <c r="B53" s="48"/>
      <c r="C53" s="210"/>
      <c r="D53" s="58" t="str">
        <f>IF(ISBLANK(C53),"",VLOOKUP(C53,Bilan!$F$6:$G$25,2,FALSE))</f>
        <v/>
      </c>
      <c r="E53" s="65"/>
      <c r="F53" s="65"/>
      <c r="M53" s="203"/>
      <c r="N53" s="203"/>
    </row>
    <row r="54" spans="1:14" x14ac:dyDescent="0.25">
      <c r="A54" s="210"/>
      <c r="B54" s="48"/>
      <c r="C54" s="210"/>
      <c r="D54" s="58" t="str">
        <f>IF(ISBLANK(C54),"",VLOOKUP(C54,Bilan!$F$6:$G$25,2,FALSE))</f>
        <v/>
      </c>
      <c r="E54" s="65"/>
      <c r="F54" s="65"/>
      <c r="M54" s="203"/>
      <c r="N54" s="203"/>
    </row>
    <row r="55" spans="1:14" x14ac:dyDescent="0.25">
      <c r="A55" s="210"/>
      <c r="B55" s="48"/>
      <c r="C55" s="210"/>
      <c r="D55" s="58" t="str">
        <f>IF(ISBLANK(C55),"",VLOOKUP(C55,Bilan!$F$6:$G$25,2,FALSE))</f>
        <v/>
      </c>
      <c r="E55" s="65"/>
      <c r="F55" s="65"/>
      <c r="M55" s="203"/>
      <c r="N55" s="203"/>
    </row>
    <row r="56" spans="1:14" x14ac:dyDescent="0.25">
      <c r="A56" s="210"/>
      <c r="B56" s="48"/>
      <c r="C56" s="210"/>
      <c r="D56" s="58" t="str">
        <f>IF(ISBLANK(C56),"",VLOOKUP(C56,Bilan!$F$6:$G$25,2,FALSE))</f>
        <v/>
      </c>
      <c r="E56" s="65"/>
      <c r="F56" s="65"/>
      <c r="M56" s="203"/>
      <c r="N56" s="203"/>
    </row>
    <row r="57" spans="1:14" x14ac:dyDescent="0.25">
      <c r="M57" s="203"/>
      <c r="N57" s="203"/>
    </row>
    <row r="58" spans="1:14" x14ac:dyDescent="0.25">
      <c r="M58" s="203"/>
      <c r="N58" s="203"/>
    </row>
  </sheetData>
  <sheetProtection password="C736" sheet="1" objects="1" scenarios="1"/>
  <sortState ref="N7:N8">
    <sortCondition ref="N7"/>
  </sortState>
  <conditionalFormatting sqref="B2:B4">
    <cfRule type="expression" dxfId="20" priority="3">
      <formula>LEN(TRIM(B2:B4))=0</formula>
    </cfRule>
  </conditionalFormatting>
  <conditionalFormatting sqref="A7:C7">
    <cfRule type="expression" dxfId="19" priority="2">
      <formula>LEN(TRIM(A7:C7))=0</formula>
    </cfRule>
  </conditionalFormatting>
  <conditionalFormatting sqref="E7:F7">
    <cfRule type="expression" dxfId="18" priority="1">
      <formula>LEN(TRIM(E7:F7))=0</formula>
    </cfRule>
  </conditionalFormatting>
  <dataValidations count="2">
    <dataValidation type="list" allowBlank="1" showInputMessage="1" showErrorMessage="1" sqref="F7:F56">
      <formula1>INDIRECT(E7)</formula1>
    </dataValidation>
    <dataValidation type="list" allowBlank="1" showInputMessage="1" showErrorMessage="1" sqref="E7:E56">
      <formula1>groupe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Membres!$A$6:$A$41</xm:f>
          </x14:formula1>
          <xm:sqref>B2</xm:sqref>
        </x14:dataValidation>
        <x14:dataValidation type="list" allowBlank="1" showInputMessage="1" showErrorMessage="1">
          <x14:formula1>
            <xm:f>Bilan!$F$6:$F$19</xm:f>
          </x14:formula1>
          <xm:sqref>C7:C14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/>
  <dimension ref="A1:N58"/>
  <sheetViews>
    <sheetView workbookViewId="0">
      <selection activeCell="B1" sqref="B1"/>
    </sheetView>
  </sheetViews>
  <sheetFormatPr baseColWidth="10" defaultRowHeight="15" x14ac:dyDescent="0.25"/>
  <cols>
    <col min="1" max="1" width="22.85546875" style="219" customWidth="1"/>
    <col min="2" max="2" width="16.85546875" style="219" bestFit="1" customWidth="1"/>
    <col min="3" max="3" width="19.140625" style="219" customWidth="1"/>
    <col min="4" max="4" width="7.7109375" style="219" bestFit="1" customWidth="1"/>
    <col min="5" max="5" width="23" style="219" customWidth="1"/>
    <col min="6" max="6" width="23.5703125" style="219" customWidth="1"/>
    <col min="7" max="7" width="22.42578125" style="219" bestFit="1" customWidth="1"/>
    <col min="8" max="8" width="17.85546875" style="219" customWidth="1"/>
    <col min="9" max="9" width="2.85546875" style="219" customWidth="1"/>
    <col min="10" max="10" width="24.42578125" style="219" bestFit="1" customWidth="1"/>
    <col min="11" max="11" width="11.42578125" style="219"/>
  </cols>
  <sheetData>
    <row r="1" spans="1:14" x14ac:dyDescent="0.25">
      <c r="A1" s="161" t="s">
        <v>274</v>
      </c>
      <c r="B1" s="55" t="s">
        <v>520</v>
      </c>
      <c r="I1" s="68">
        <v>1</v>
      </c>
      <c r="J1" s="58" t="s">
        <v>251</v>
      </c>
      <c r="K1" s="55" t="str">
        <f>VLOOKUP(B2,Membres!A6:R200,3,FALSE)</f>
        <v>Jonathan</v>
      </c>
    </row>
    <row r="2" spans="1:14" x14ac:dyDescent="0.25">
      <c r="A2" s="161" t="s">
        <v>244</v>
      </c>
      <c r="B2" s="210" t="s">
        <v>521</v>
      </c>
      <c r="I2" s="68">
        <f t="shared" ref="I2:I31" si="0">I1+1</f>
        <v>2</v>
      </c>
      <c r="J2" s="58" t="s">
        <v>248</v>
      </c>
      <c r="K2" s="55" t="str">
        <f>VLOOKUP(B2,Membres!A6:R200,2,FALSE)</f>
        <v>Pierrat</v>
      </c>
    </row>
    <row r="3" spans="1:14" x14ac:dyDescent="0.25">
      <c r="A3" s="161" t="s">
        <v>13</v>
      </c>
      <c r="B3" s="210" t="s">
        <v>522</v>
      </c>
      <c r="I3" s="68">
        <f t="shared" si="0"/>
        <v>3</v>
      </c>
      <c r="J3" s="58" t="s">
        <v>252</v>
      </c>
      <c r="K3" s="55" t="s">
        <v>484</v>
      </c>
    </row>
    <row r="4" spans="1:14" x14ac:dyDescent="0.25">
      <c r="A4" s="161" t="s">
        <v>257</v>
      </c>
      <c r="B4" s="52">
        <v>0</v>
      </c>
      <c r="I4" s="68">
        <f t="shared" si="0"/>
        <v>4</v>
      </c>
      <c r="J4" s="58" t="s">
        <v>253</v>
      </c>
      <c r="K4" s="55" t="str">
        <f>VLOOKUP(B2,Membres!A6:R200,4,FALSE)</f>
        <v>PEIJ31109104</v>
      </c>
    </row>
    <row r="5" spans="1:14" x14ac:dyDescent="0.25">
      <c r="I5" s="68">
        <f t="shared" si="0"/>
        <v>5</v>
      </c>
      <c r="J5" s="58" t="s">
        <v>16</v>
      </c>
      <c r="K5" s="57">
        <v>42649</v>
      </c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I6" s="68">
        <f t="shared" si="0"/>
        <v>6</v>
      </c>
      <c r="J6" s="58" t="s">
        <v>277</v>
      </c>
      <c r="K6" s="55" t="str">
        <f>VLOOKUP(B2,Membres!A6:R200,6,FALSE)</f>
        <v>(514) 709-7340</v>
      </c>
    </row>
    <row r="7" spans="1:14" x14ac:dyDescent="0.25">
      <c r="A7" s="209" t="s">
        <v>523</v>
      </c>
      <c r="B7" s="164">
        <v>5</v>
      </c>
      <c r="C7" s="210" t="s">
        <v>4</v>
      </c>
      <c r="D7" s="60">
        <f>IF(ISBLANK(C7),"",VLOOKUP(C7,Bilan!$F$6:$G$25,2,FALSE))</f>
        <v>53111</v>
      </c>
      <c r="E7" s="65"/>
      <c r="F7" s="65"/>
      <c r="I7" s="68">
        <f t="shared" si="0"/>
        <v>7</v>
      </c>
      <c r="J7" s="58" t="s">
        <v>254</v>
      </c>
      <c r="K7" s="55" t="s">
        <v>155</v>
      </c>
      <c r="M7" s="203">
        <f>1</f>
        <v>1</v>
      </c>
      <c r="N7" s="203">
        <v>53111</v>
      </c>
    </row>
    <row r="8" spans="1:14" x14ac:dyDescent="0.25">
      <c r="A8" s="209" t="s">
        <v>524</v>
      </c>
      <c r="B8" s="164">
        <v>18</v>
      </c>
      <c r="C8" s="210" t="s">
        <v>10</v>
      </c>
      <c r="D8" s="60">
        <f>IF(ISBLANK(C8),"",VLOOKUP(C8,Bilan!$F$6:$G$25,2,FALSE))</f>
        <v>57253</v>
      </c>
      <c r="E8" s="65"/>
      <c r="F8" s="65"/>
      <c r="I8" s="68">
        <f t="shared" si="0"/>
        <v>8</v>
      </c>
      <c r="J8" s="58" t="s">
        <v>255</v>
      </c>
      <c r="K8" s="55" t="s">
        <v>485</v>
      </c>
      <c r="M8" s="203">
        <f>IF(N8=N7,M7,M7+1)</f>
        <v>2</v>
      </c>
      <c r="N8" s="203">
        <v>57253</v>
      </c>
    </row>
    <row r="9" spans="1:14" x14ac:dyDescent="0.25">
      <c r="A9" s="210" t="s">
        <v>525</v>
      </c>
      <c r="B9" s="52">
        <v>39.64</v>
      </c>
      <c r="C9" s="210" t="s">
        <v>10</v>
      </c>
      <c r="D9" s="60">
        <f>IF(ISBLANK(C9),"",VLOOKUP(C9,Bilan!$F$6:$G$25,2,FALSE))</f>
        <v>57253</v>
      </c>
      <c r="E9" s="65"/>
      <c r="F9" s="65"/>
      <c r="I9" s="68">
        <f t="shared" si="0"/>
        <v>9</v>
      </c>
      <c r="J9" s="58" t="s">
        <v>256</v>
      </c>
      <c r="K9" s="193">
        <f>K18-B4</f>
        <v>122.75000000000001</v>
      </c>
      <c r="M9" s="203">
        <f t="shared" ref="M9:M12" si="1">IF(N9=N8,M8,M8+1)</f>
        <v>2</v>
      </c>
      <c r="N9" s="203">
        <v>57253</v>
      </c>
    </row>
    <row r="10" spans="1:14" x14ac:dyDescent="0.25">
      <c r="A10" s="210" t="s">
        <v>526</v>
      </c>
      <c r="B10" s="52">
        <v>30.1</v>
      </c>
      <c r="C10" s="210" t="s">
        <v>10</v>
      </c>
      <c r="D10" s="60">
        <f>IF(ISBLANK(C10),"",VLOOKUP(C10,Bilan!$F$6:$G$25,2,FALSE))</f>
        <v>57253</v>
      </c>
      <c r="E10" s="65"/>
      <c r="F10" s="65"/>
      <c r="I10" s="68">
        <f t="shared" si="0"/>
        <v>10</v>
      </c>
      <c r="J10" s="58" t="s">
        <v>258</v>
      </c>
      <c r="K10" s="55" t="str">
        <f>B2</f>
        <v>Jonathan Pierrat</v>
      </c>
      <c r="M10" s="203">
        <f t="shared" si="1"/>
        <v>2</v>
      </c>
      <c r="N10" s="203">
        <v>57253</v>
      </c>
    </row>
    <row r="11" spans="1:14" x14ac:dyDescent="0.25">
      <c r="A11" s="210" t="s">
        <v>527</v>
      </c>
      <c r="B11" s="52">
        <v>30.01</v>
      </c>
      <c r="C11" s="210" t="s">
        <v>10</v>
      </c>
      <c r="D11" s="60">
        <f>IF(ISBLANK(C11),"",VLOOKUP(C11,Bilan!$F$6:$G$25,2,FALSE))</f>
        <v>57253</v>
      </c>
      <c r="E11" s="65"/>
      <c r="F11" s="65"/>
      <c r="I11" s="68">
        <f t="shared" si="0"/>
        <v>11</v>
      </c>
      <c r="J11" s="58" t="s">
        <v>259</v>
      </c>
      <c r="K11" s="55"/>
      <c r="M11" s="203">
        <f t="shared" si="1"/>
        <v>2</v>
      </c>
      <c r="N11" s="203">
        <v>57253</v>
      </c>
    </row>
    <row r="12" spans="1:14" x14ac:dyDescent="0.25">
      <c r="A12" s="210"/>
      <c r="B12" s="52"/>
      <c r="C12" s="210"/>
      <c r="D12" s="60" t="str">
        <f>IF(ISBLANK(C12),"",VLOOKUP(C12,Bilan!$F$6:$G$25,2,FALSE))</f>
        <v/>
      </c>
      <c r="E12" s="65"/>
      <c r="F12" s="65"/>
      <c r="I12" s="68">
        <f t="shared" si="0"/>
        <v>12</v>
      </c>
      <c r="J12" s="58" t="s">
        <v>260</v>
      </c>
      <c r="K12" s="55"/>
      <c r="M12" s="203">
        <f t="shared" si="1"/>
        <v>3</v>
      </c>
      <c r="N12" s="203"/>
    </row>
    <row r="13" spans="1:14" x14ac:dyDescent="0.25">
      <c r="A13" s="210"/>
      <c r="B13" s="52"/>
      <c r="C13" s="210"/>
      <c r="D13" s="55" t="str">
        <f>IF(ISBLANK(C13),"",VLOOKUP(C13,Bilan!$F$6:$G$25,2,FALSE))</f>
        <v/>
      </c>
      <c r="E13" s="65"/>
      <c r="F13" s="65"/>
      <c r="I13" s="68">
        <f t="shared" si="0"/>
        <v>13</v>
      </c>
      <c r="J13" s="58" t="s">
        <v>249</v>
      </c>
      <c r="K13" s="55" t="str">
        <f>VLOOKUP(B2,Membres!A6:R200,8,FALSE)</f>
        <v>4796 rue Dagenais</v>
      </c>
      <c r="M13" s="203"/>
      <c r="N13" s="203"/>
    </row>
    <row r="14" spans="1:14" ht="15.75" thickBot="1" x14ac:dyDescent="0.3">
      <c r="A14" s="211"/>
      <c r="B14" s="190"/>
      <c r="C14" s="211"/>
      <c r="D14" s="191" t="str">
        <f>IF(ISBLANK(C14),"",VLOOKUP(C14,Bilan!$F$6:$G$25,2,FALSE))</f>
        <v/>
      </c>
      <c r="E14" s="192"/>
      <c r="F14" s="192"/>
      <c r="I14" s="68">
        <f t="shared" si="0"/>
        <v>14</v>
      </c>
      <c r="J14" s="58" t="s">
        <v>17</v>
      </c>
      <c r="K14" s="55" t="str">
        <f>VLOOKUP(B2,Membres!A6:R200,11,FALSE)</f>
        <v>France</v>
      </c>
      <c r="M14" s="203"/>
      <c r="N14" s="203"/>
    </row>
    <row r="15" spans="1:14" ht="15.75" thickTop="1" x14ac:dyDescent="0.25">
      <c r="A15" s="212"/>
      <c r="B15" s="53"/>
      <c r="C15" s="212"/>
      <c r="D15" s="56" t="str">
        <f>IF(ISBLANK(C15),"",VLOOKUP(C15,Bilan!$F$6:$G$25,2,FALSE))</f>
        <v/>
      </c>
      <c r="E15" s="66"/>
      <c r="F15" s="66"/>
      <c r="I15" s="68">
        <f t="shared" si="0"/>
        <v>15</v>
      </c>
      <c r="J15" s="58" t="s">
        <v>261</v>
      </c>
      <c r="K15" s="55" t="str">
        <f>VLOOKUP(B2,Membres!A6:R200,10,FALSE)</f>
        <v>H4C 1L7</v>
      </c>
      <c r="M15" s="203"/>
      <c r="N15" s="203"/>
    </row>
    <row r="16" spans="1:14" x14ac:dyDescent="0.25">
      <c r="A16" s="210"/>
      <c r="B16" s="52"/>
      <c r="C16" s="210"/>
      <c r="D16" s="55" t="str">
        <f>IF(ISBLANK(C16),"",VLOOKUP(C16,Bilan!$F$6:$G$25,2,FALSE))</f>
        <v/>
      </c>
      <c r="E16" s="65"/>
      <c r="F16" s="65"/>
      <c r="I16" s="68">
        <f t="shared" si="0"/>
        <v>16</v>
      </c>
      <c r="J16" s="58" t="s">
        <v>250</v>
      </c>
      <c r="K16" s="55" t="str">
        <f>VLOOKUP(B2,Membres!A6:R200,9,FALSE)</f>
        <v>France</v>
      </c>
      <c r="M16" s="203"/>
      <c r="N16" s="203"/>
    </row>
    <row r="17" spans="1:14" x14ac:dyDescent="0.25">
      <c r="A17" s="210"/>
      <c r="B17" s="52"/>
      <c r="C17" s="210"/>
      <c r="D17" s="55" t="str">
        <f>IF(ISBLANK(C17),"",VLOOKUP(C17,Bilan!$F$6:$G$25,2,FALSE))</f>
        <v/>
      </c>
      <c r="E17" s="65"/>
      <c r="F17" s="65"/>
      <c r="I17" s="68">
        <f t="shared" si="0"/>
        <v>17</v>
      </c>
      <c r="J17" s="58" t="s">
        <v>14</v>
      </c>
      <c r="K17" s="55" t="str">
        <f>VLOOKUP(B2,Membres!A6:R200,7,FALSE)</f>
        <v>jonathan.pierrat1@gmail.com</v>
      </c>
      <c r="M17" s="203"/>
      <c r="N17" s="203"/>
    </row>
    <row r="18" spans="1:14" x14ac:dyDescent="0.25">
      <c r="A18" s="210"/>
      <c r="B18" s="52"/>
      <c r="C18" s="210"/>
      <c r="D18" s="57" t="str">
        <f>IF(ISBLANK(C18),"",VLOOKUP(C18,Bilan!$F$6:$G$25,2,FALSE))</f>
        <v/>
      </c>
      <c r="E18" s="65"/>
      <c r="F18" s="65"/>
      <c r="G18" s="49"/>
      <c r="H18" s="49"/>
      <c r="I18" s="68">
        <f t="shared" si="0"/>
        <v>18</v>
      </c>
      <c r="J18" s="58" t="s">
        <v>262</v>
      </c>
      <c r="K18" s="59">
        <f>SUM(B7:B100)</f>
        <v>122.75000000000001</v>
      </c>
      <c r="M18" s="203"/>
      <c r="N18" s="203"/>
    </row>
    <row r="19" spans="1:14" x14ac:dyDescent="0.25">
      <c r="A19" s="210"/>
      <c r="B19" s="52"/>
      <c r="C19" s="210"/>
      <c r="D19" s="55" t="str">
        <f>IF(ISBLANK(C19),"",VLOOKUP(C19,Bilan!$F$6:$G$25,2,FALSE))</f>
        <v/>
      </c>
      <c r="E19" s="65"/>
      <c r="F19" s="65"/>
      <c r="I19" s="68">
        <f t="shared" si="0"/>
        <v>19</v>
      </c>
      <c r="J19" s="58" t="s">
        <v>263</v>
      </c>
      <c r="K19" s="59">
        <f>SUMIFS(B7:B58,D7:D58,K24)</f>
        <v>5</v>
      </c>
      <c r="M19" s="203"/>
      <c r="N19" s="203"/>
    </row>
    <row r="20" spans="1:14" x14ac:dyDescent="0.25">
      <c r="A20" s="210"/>
      <c r="B20" s="52"/>
      <c r="C20" s="210"/>
      <c r="D20" s="55" t="str">
        <f>IF(ISBLANK(C20),"",VLOOKUP(C20,Bilan!$F$6:$G$25,2,FALSE))</f>
        <v/>
      </c>
      <c r="E20" s="65"/>
      <c r="F20" s="65"/>
      <c r="I20" s="68">
        <f t="shared" si="0"/>
        <v>20</v>
      </c>
      <c r="J20" s="58" t="s">
        <v>264</v>
      </c>
      <c r="K20" s="59">
        <f>SUMIFS(B7:B58,D7:D58,K25)</f>
        <v>117.75000000000001</v>
      </c>
      <c r="M20" s="203"/>
      <c r="N20" s="203"/>
    </row>
    <row r="21" spans="1:14" x14ac:dyDescent="0.25">
      <c r="A21" s="210"/>
      <c r="B21" s="52"/>
      <c r="C21" s="210"/>
      <c r="D21" s="55" t="str">
        <f>IF(ISBLANK(C21),"",VLOOKUP(C21,Bilan!$F$6:$G$25,2,FALSE))</f>
        <v/>
      </c>
      <c r="E21" s="65"/>
      <c r="F21" s="65"/>
      <c r="I21" s="68">
        <f t="shared" si="0"/>
        <v>21</v>
      </c>
      <c r="J21" s="58" t="s">
        <v>265</v>
      </c>
      <c r="K21" s="59">
        <f>SUMIFS(B7:B58,D7:D58,K26)</f>
        <v>0</v>
      </c>
      <c r="M21" s="203"/>
      <c r="N21" s="203"/>
    </row>
    <row r="22" spans="1:14" x14ac:dyDescent="0.25">
      <c r="A22" s="210"/>
      <c r="B22" s="52"/>
      <c r="C22" s="210"/>
      <c r="D22" s="55" t="str">
        <f>IF(ISBLANK(C22),"",VLOOKUP(C22,Bilan!$F$6:$G$25,2,FALSE))</f>
        <v/>
      </c>
      <c r="E22" s="65"/>
      <c r="F22" s="65"/>
      <c r="I22" s="68">
        <f t="shared" si="0"/>
        <v>22</v>
      </c>
      <c r="J22" s="58" t="s">
        <v>266</v>
      </c>
      <c r="K22" s="59">
        <f>SUMIFS(B7:B58,D7:D58,K27)</f>
        <v>0</v>
      </c>
      <c r="M22" s="203"/>
      <c r="N22" s="203"/>
    </row>
    <row r="23" spans="1:14" x14ac:dyDescent="0.25">
      <c r="A23" s="210"/>
      <c r="B23" s="52"/>
      <c r="C23" s="210"/>
      <c r="D23" s="55" t="str">
        <f>IF(ISBLANK(C23),"",VLOOKUP(C23,Bilan!$F$6:$G$25,2,FALSE))</f>
        <v/>
      </c>
      <c r="E23" s="65"/>
      <c r="F23" s="65"/>
      <c r="I23" s="68">
        <f t="shared" si="0"/>
        <v>23</v>
      </c>
      <c r="J23" s="58" t="s">
        <v>267</v>
      </c>
      <c r="K23" s="59">
        <f>SUMIFS(B7:B58,D7:D58,K28)</f>
        <v>0</v>
      </c>
      <c r="M23" s="203"/>
      <c r="N23" s="203"/>
    </row>
    <row r="24" spans="1:14" x14ac:dyDescent="0.25">
      <c r="A24" s="210"/>
      <c r="B24" s="52"/>
      <c r="C24" s="210"/>
      <c r="D24" s="55" t="str">
        <f>IF(ISBLANK(C24),"",VLOOKUP(C24,Bilan!$F$6:$G$25,2,FALSE))</f>
        <v/>
      </c>
      <c r="E24" s="65"/>
      <c r="F24" s="65"/>
      <c r="I24" s="68">
        <f t="shared" si="0"/>
        <v>24</v>
      </c>
      <c r="J24" s="58" t="s">
        <v>268</v>
      </c>
      <c r="K24" s="55">
        <f>IF(ISERROR(VLOOKUP(1,M7:N58,2,FALSE))," ",VLOOKUP(1,M7:N58,2,FALSE))</f>
        <v>53111</v>
      </c>
      <c r="M24" s="203"/>
      <c r="N24" s="203"/>
    </row>
    <row r="25" spans="1:14" x14ac:dyDescent="0.25">
      <c r="A25" s="210"/>
      <c r="B25" s="52"/>
      <c r="C25" s="210"/>
      <c r="D25" s="55" t="str">
        <f>IF(ISBLANK(C25),"",VLOOKUP(C25,Bilan!$F$6:$G$25,2,FALSE))</f>
        <v/>
      </c>
      <c r="E25" s="65"/>
      <c r="F25" s="65"/>
      <c r="I25" s="68">
        <f t="shared" si="0"/>
        <v>25</v>
      </c>
      <c r="J25" s="58" t="s">
        <v>269</v>
      </c>
      <c r="K25" s="55">
        <f>IF(ISERROR(VLOOKUP(2,M7:N58,2,FALSE))," ",VLOOKUP(2,M7:N58,2,FALSE))</f>
        <v>57253</v>
      </c>
      <c r="M25" s="203"/>
      <c r="N25" s="203"/>
    </row>
    <row r="26" spans="1:14" x14ac:dyDescent="0.25">
      <c r="A26" s="210"/>
      <c r="B26" s="52"/>
      <c r="C26" s="210"/>
      <c r="D26" s="55" t="str">
        <f>IF(ISBLANK(C26),"",VLOOKUP(C26,Bilan!$F$6:$G$25,2,FALSE))</f>
        <v/>
      </c>
      <c r="E26" s="65"/>
      <c r="F26" s="65"/>
      <c r="I26" s="68">
        <f t="shared" si="0"/>
        <v>26</v>
      </c>
      <c r="J26" s="58" t="s">
        <v>270</v>
      </c>
      <c r="K26" s="55">
        <f>IF(ISERROR(VLOOKUP(3,M7:N58,2,FALSE))," ",VLOOKUP(3,M7:N58,2,FALSE))</f>
        <v>0</v>
      </c>
      <c r="M26" s="203"/>
      <c r="N26" s="203"/>
    </row>
    <row r="27" spans="1:14" x14ac:dyDescent="0.25">
      <c r="A27" s="210"/>
      <c r="B27" s="52"/>
      <c r="C27" s="210"/>
      <c r="D27" s="55" t="str">
        <f>IF(ISBLANK(C27),"",VLOOKUP(C27,Bilan!$F$6:$G$25,2,FALSE))</f>
        <v/>
      </c>
      <c r="E27" s="65"/>
      <c r="F27" s="65"/>
      <c r="I27" s="68">
        <f t="shared" si="0"/>
        <v>27</v>
      </c>
      <c r="J27" s="58" t="s">
        <v>271</v>
      </c>
      <c r="K27" s="55" t="str">
        <f>IF(ISERROR(VLOOKUP(4,M7:N58,2,FALSE))," ",VLOOKUP(4,M7:N58,2,FALSE))</f>
        <v xml:space="preserve"> </v>
      </c>
      <c r="M27" s="203"/>
      <c r="N27" s="203"/>
    </row>
    <row r="28" spans="1:14" x14ac:dyDescent="0.25">
      <c r="A28" s="210"/>
      <c r="B28" s="52"/>
      <c r="C28" s="210"/>
      <c r="D28" s="55" t="str">
        <f>IF(ISBLANK(C28),"",VLOOKUP(C28,Bilan!$F$6:$G$25,2,FALSE))</f>
        <v/>
      </c>
      <c r="E28" s="65"/>
      <c r="F28" s="65"/>
      <c r="I28" s="68">
        <f t="shared" si="0"/>
        <v>28</v>
      </c>
      <c r="J28" s="58" t="s">
        <v>272</v>
      </c>
      <c r="K28" s="55" t="str">
        <f>IF(ISERROR(VLOOKUP(5,M7:N58,2,FALSE))," ",VLOOKUP(5,M7:N58,2,FALSE))</f>
        <v xml:space="preserve"> </v>
      </c>
      <c r="M28" s="203"/>
      <c r="N28" s="203"/>
    </row>
    <row r="29" spans="1:14" x14ac:dyDescent="0.25">
      <c r="A29" s="210"/>
      <c r="B29" s="52"/>
      <c r="C29" s="210"/>
      <c r="D29" s="55" t="str">
        <f>IF(ISBLANK(C29),"",VLOOKUP(C29,Bilan!$F$6:$G$25,2,FALSE))</f>
        <v/>
      </c>
      <c r="E29" s="65"/>
      <c r="F29" s="65"/>
      <c r="I29" s="68">
        <f t="shared" si="0"/>
        <v>29</v>
      </c>
      <c r="J29" s="58" t="s">
        <v>19</v>
      </c>
      <c r="K29" s="55">
        <v>300050</v>
      </c>
      <c r="M29" s="203"/>
      <c r="N29" s="203"/>
    </row>
    <row r="30" spans="1:14" x14ac:dyDescent="0.25">
      <c r="A30" s="210"/>
      <c r="B30" s="52"/>
      <c r="C30" s="210"/>
      <c r="D30" s="55" t="str">
        <f>IF(ISBLANK(C30),"",VLOOKUP(C30,Bilan!$F$6:$G$25,2,FALSE))</f>
        <v/>
      </c>
      <c r="E30" s="65"/>
      <c r="F30" s="65"/>
      <c r="I30" s="68">
        <f t="shared" si="0"/>
        <v>30</v>
      </c>
      <c r="J30" s="58" t="s">
        <v>275</v>
      </c>
      <c r="K30" s="55" t="s">
        <v>486</v>
      </c>
      <c r="M30" s="203"/>
      <c r="N30" s="203"/>
    </row>
    <row r="31" spans="1:14" x14ac:dyDescent="0.25">
      <c r="A31" s="210"/>
      <c r="B31" s="48"/>
      <c r="C31" s="210"/>
      <c r="D31" s="58" t="str">
        <f>IF(ISBLANK(C31),"",VLOOKUP(C31,Bilan!$F$6:$G$25,2,FALSE))</f>
        <v/>
      </c>
      <c r="E31" s="65"/>
      <c r="F31" s="65"/>
      <c r="I31" s="68">
        <f t="shared" si="0"/>
        <v>31</v>
      </c>
      <c r="J31" s="58" t="s">
        <v>276</v>
      </c>
      <c r="K31" s="55">
        <f>IF(ISBLANK(A15),0,1)</f>
        <v>0</v>
      </c>
      <c r="M31" s="203"/>
      <c r="N31" s="203"/>
    </row>
    <row r="32" spans="1:14" x14ac:dyDescent="0.25">
      <c r="A32" s="210"/>
      <c r="B32" s="48"/>
      <c r="C32" s="210"/>
      <c r="D32" s="58" t="str">
        <f>IF(ISBLANK(C32),"",VLOOKUP(C32,Bilan!$F$6:$G$25,2,FALSE))</f>
        <v/>
      </c>
      <c r="E32" s="65"/>
      <c r="F32" s="65"/>
      <c r="M32" s="203"/>
      <c r="N32" s="203"/>
    </row>
    <row r="33" spans="1:14" x14ac:dyDescent="0.25">
      <c r="A33" s="210"/>
      <c r="B33" s="48"/>
      <c r="C33" s="210"/>
      <c r="D33" s="58" t="str">
        <f>IF(ISBLANK(C33),"",VLOOKUP(C33,Bilan!$F$6:$G$25,2,FALSE))</f>
        <v/>
      </c>
      <c r="E33" s="65"/>
      <c r="F33" s="65"/>
      <c r="M33" s="203"/>
      <c r="N33" s="203"/>
    </row>
    <row r="34" spans="1:14" x14ac:dyDescent="0.25">
      <c r="A34" s="210"/>
      <c r="B34" s="48"/>
      <c r="C34" s="210"/>
      <c r="D34" s="58" t="str">
        <f>IF(ISBLANK(C34),"",VLOOKUP(C34,Bilan!$F$6:$G$25,2,FALSE))</f>
        <v/>
      </c>
      <c r="E34" s="65"/>
      <c r="F34" s="65"/>
      <c r="M34" s="203"/>
      <c r="N34" s="203"/>
    </row>
    <row r="35" spans="1:14" x14ac:dyDescent="0.25">
      <c r="A35" s="210"/>
      <c r="B35" s="48"/>
      <c r="C35" s="210"/>
      <c r="D35" s="58" t="str">
        <f>IF(ISBLANK(C35),"",VLOOKUP(C35,Bilan!$F$6:$G$25,2,FALSE))</f>
        <v/>
      </c>
      <c r="E35" s="65"/>
      <c r="F35" s="65"/>
      <c r="M35" s="203"/>
      <c r="N35" s="203"/>
    </row>
    <row r="36" spans="1:14" x14ac:dyDescent="0.25">
      <c r="A36" s="210"/>
      <c r="B36" s="48"/>
      <c r="C36" s="210"/>
      <c r="D36" s="58" t="str">
        <f>IF(ISBLANK(C36),"",VLOOKUP(C36,Bilan!$F$6:$G$25,2,FALSE))</f>
        <v/>
      </c>
      <c r="E36" s="65"/>
      <c r="F36" s="65"/>
      <c r="M36" s="203"/>
      <c r="N36" s="203"/>
    </row>
    <row r="37" spans="1:14" x14ac:dyDescent="0.25">
      <c r="A37" s="210"/>
      <c r="B37" s="48"/>
      <c r="C37" s="210"/>
      <c r="D37" s="58" t="str">
        <f>IF(ISBLANK(C37),"",VLOOKUP(C37,Bilan!$F$6:$G$25,2,FALSE))</f>
        <v/>
      </c>
      <c r="E37" s="65"/>
      <c r="F37" s="65"/>
      <c r="M37" s="203"/>
      <c r="N37" s="203"/>
    </row>
    <row r="38" spans="1:14" x14ac:dyDescent="0.25">
      <c r="A38" s="210"/>
      <c r="B38" s="48"/>
      <c r="C38" s="210"/>
      <c r="D38" s="58" t="str">
        <f>IF(ISBLANK(C38),"",VLOOKUP(C38,Bilan!$F$6:$G$25,2,FALSE))</f>
        <v/>
      </c>
      <c r="E38" s="65"/>
      <c r="F38" s="65"/>
      <c r="M38" s="203"/>
      <c r="N38" s="203"/>
    </row>
    <row r="39" spans="1:14" x14ac:dyDescent="0.25">
      <c r="A39" s="210"/>
      <c r="B39" s="48"/>
      <c r="C39" s="210"/>
      <c r="D39" s="58" t="str">
        <f>IF(ISBLANK(C39),"",VLOOKUP(C39,Bilan!$F$6:$G$25,2,FALSE))</f>
        <v/>
      </c>
      <c r="E39" s="65"/>
      <c r="F39" s="65"/>
      <c r="M39" s="203"/>
      <c r="N39" s="203"/>
    </row>
    <row r="40" spans="1:14" x14ac:dyDescent="0.25">
      <c r="A40" s="210"/>
      <c r="B40" s="48"/>
      <c r="C40" s="210"/>
      <c r="D40" s="58" t="str">
        <f>IF(ISBLANK(C40),"",VLOOKUP(C40,Bilan!$F$6:$G$25,2,FALSE))</f>
        <v/>
      </c>
      <c r="E40" s="65"/>
      <c r="F40" s="65"/>
      <c r="M40" s="203"/>
      <c r="N40" s="203"/>
    </row>
    <row r="41" spans="1:14" x14ac:dyDescent="0.25">
      <c r="A41" s="210"/>
      <c r="B41" s="48"/>
      <c r="C41" s="210"/>
      <c r="D41" s="58" t="str">
        <f>IF(ISBLANK(C41),"",VLOOKUP(C41,Bilan!$F$6:$G$25,2,FALSE))</f>
        <v/>
      </c>
      <c r="E41" s="65"/>
      <c r="F41" s="65"/>
      <c r="M41" s="203"/>
      <c r="N41" s="203"/>
    </row>
    <row r="42" spans="1:14" x14ac:dyDescent="0.25">
      <c r="A42" s="210"/>
      <c r="B42" s="48"/>
      <c r="C42" s="210"/>
      <c r="D42" s="58" t="str">
        <f>IF(ISBLANK(C42),"",VLOOKUP(C42,Bilan!$F$6:$G$25,2,FALSE))</f>
        <v/>
      </c>
      <c r="E42" s="65"/>
      <c r="F42" s="65"/>
      <c r="M42" s="203"/>
      <c r="N42" s="203"/>
    </row>
    <row r="43" spans="1:14" x14ac:dyDescent="0.25">
      <c r="A43" s="210"/>
      <c r="B43" s="48"/>
      <c r="C43" s="210"/>
      <c r="D43" s="58" t="str">
        <f>IF(ISBLANK(C43),"",VLOOKUP(C43,Bilan!$F$6:$G$25,2,FALSE))</f>
        <v/>
      </c>
      <c r="E43" s="65"/>
      <c r="F43" s="65"/>
      <c r="M43" s="203"/>
      <c r="N43" s="203"/>
    </row>
    <row r="44" spans="1:14" x14ac:dyDescent="0.25">
      <c r="A44" s="210"/>
      <c r="B44" s="48"/>
      <c r="C44" s="210"/>
      <c r="D44" s="58" t="str">
        <f>IF(ISBLANK(C44),"",VLOOKUP(C44,Bilan!$F$6:$G$25,2,FALSE))</f>
        <v/>
      </c>
      <c r="E44" s="65"/>
      <c r="F44" s="65"/>
      <c r="M44" s="203"/>
      <c r="N44" s="203"/>
    </row>
    <row r="45" spans="1:14" x14ac:dyDescent="0.25">
      <c r="A45" s="210"/>
      <c r="B45" s="48"/>
      <c r="C45" s="210"/>
      <c r="D45" s="58" t="str">
        <f>IF(ISBLANK(C45),"",VLOOKUP(C45,Bilan!$F$6:$G$25,2,FALSE))</f>
        <v/>
      </c>
      <c r="E45" s="65"/>
      <c r="F45" s="65"/>
      <c r="M45" s="203"/>
      <c r="N45" s="203"/>
    </row>
    <row r="46" spans="1:14" x14ac:dyDescent="0.25">
      <c r="A46" s="210"/>
      <c r="B46" s="48"/>
      <c r="C46" s="210"/>
      <c r="D46" s="58" t="str">
        <f>IF(ISBLANK(C46),"",VLOOKUP(C46,Bilan!$F$6:$G$25,2,FALSE))</f>
        <v/>
      </c>
      <c r="E46" s="65"/>
      <c r="F46" s="65"/>
      <c r="M46" s="203"/>
      <c r="N46" s="203"/>
    </row>
    <row r="47" spans="1:14" x14ac:dyDescent="0.25">
      <c r="A47" s="210"/>
      <c r="B47" s="48"/>
      <c r="C47" s="210"/>
      <c r="D47" s="58" t="str">
        <f>IF(ISBLANK(C47),"",VLOOKUP(C47,Bilan!$F$6:$G$25,2,FALSE))</f>
        <v/>
      </c>
      <c r="E47" s="65"/>
      <c r="F47" s="65"/>
      <c r="M47" s="203"/>
      <c r="N47" s="203"/>
    </row>
    <row r="48" spans="1:14" x14ac:dyDescent="0.25">
      <c r="A48" s="210"/>
      <c r="B48" s="48"/>
      <c r="C48" s="210"/>
      <c r="D48" s="58" t="str">
        <f>IF(ISBLANK(C48),"",VLOOKUP(C48,Bilan!$F$6:$G$25,2,FALSE))</f>
        <v/>
      </c>
      <c r="E48" s="65"/>
      <c r="F48" s="65"/>
      <c r="M48" s="203"/>
      <c r="N48" s="203"/>
    </row>
    <row r="49" spans="1:14" x14ac:dyDescent="0.25">
      <c r="A49" s="210"/>
      <c r="B49" s="48"/>
      <c r="C49" s="210"/>
      <c r="D49" s="58" t="str">
        <f>IF(ISBLANK(C49),"",VLOOKUP(C49,Bilan!$F$6:$G$25,2,FALSE))</f>
        <v/>
      </c>
      <c r="E49" s="65"/>
      <c r="F49" s="65"/>
      <c r="M49" s="203"/>
      <c r="N49" s="203"/>
    </row>
    <row r="50" spans="1:14" x14ac:dyDescent="0.25">
      <c r="A50" s="210"/>
      <c r="B50" s="48"/>
      <c r="C50" s="210"/>
      <c r="D50" s="58" t="str">
        <f>IF(ISBLANK(C50),"",VLOOKUP(C50,Bilan!$F$6:$G$25,2,FALSE))</f>
        <v/>
      </c>
      <c r="E50" s="65"/>
      <c r="F50" s="65"/>
      <c r="M50" s="203"/>
      <c r="N50" s="203"/>
    </row>
    <row r="51" spans="1:14" x14ac:dyDescent="0.25">
      <c r="A51" s="210"/>
      <c r="B51" s="48"/>
      <c r="C51" s="210"/>
      <c r="D51" s="58" t="str">
        <f>IF(ISBLANK(C51),"",VLOOKUP(C51,Bilan!$F$6:$G$25,2,FALSE))</f>
        <v/>
      </c>
      <c r="E51" s="65"/>
      <c r="F51" s="65"/>
      <c r="M51" s="203"/>
      <c r="N51" s="203"/>
    </row>
    <row r="52" spans="1:14" x14ac:dyDescent="0.25">
      <c r="A52" s="210"/>
      <c r="B52" s="48"/>
      <c r="C52" s="210"/>
      <c r="D52" s="58" t="str">
        <f>IF(ISBLANK(C52),"",VLOOKUP(C52,Bilan!$F$6:$G$25,2,FALSE))</f>
        <v/>
      </c>
      <c r="E52" s="65"/>
      <c r="F52" s="65"/>
      <c r="M52" s="203"/>
      <c r="N52" s="203"/>
    </row>
    <row r="53" spans="1:14" x14ac:dyDescent="0.25">
      <c r="A53" s="210"/>
      <c r="B53" s="48"/>
      <c r="C53" s="210"/>
      <c r="D53" s="58" t="str">
        <f>IF(ISBLANK(C53),"",VLOOKUP(C53,Bilan!$F$6:$G$25,2,FALSE))</f>
        <v/>
      </c>
      <c r="E53" s="65"/>
      <c r="F53" s="65"/>
      <c r="M53" s="203"/>
      <c r="N53" s="203"/>
    </row>
    <row r="54" spans="1:14" x14ac:dyDescent="0.25">
      <c r="A54" s="210"/>
      <c r="B54" s="48"/>
      <c r="C54" s="210"/>
      <c r="D54" s="58" t="str">
        <f>IF(ISBLANK(C54),"",VLOOKUP(C54,Bilan!$F$6:$G$25,2,FALSE))</f>
        <v/>
      </c>
      <c r="E54" s="65"/>
      <c r="F54" s="65"/>
      <c r="M54" s="203"/>
      <c r="N54" s="203"/>
    </row>
    <row r="55" spans="1:14" x14ac:dyDescent="0.25">
      <c r="A55" s="210"/>
      <c r="B55" s="48"/>
      <c r="C55" s="210"/>
      <c r="D55" s="58" t="str">
        <f>IF(ISBLANK(C55),"",VLOOKUP(C55,Bilan!$F$6:$G$25,2,FALSE))</f>
        <v/>
      </c>
      <c r="E55" s="65"/>
      <c r="F55" s="65"/>
      <c r="M55" s="203"/>
      <c r="N55" s="203"/>
    </row>
    <row r="56" spans="1:14" x14ac:dyDescent="0.25">
      <c r="A56" s="210"/>
      <c r="B56" s="48"/>
      <c r="C56" s="210"/>
      <c r="D56" s="58" t="str">
        <f>IF(ISBLANK(C56),"",VLOOKUP(C56,Bilan!$F$6:$G$25,2,FALSE))</f>
        <v/>
      </c>
      <c r="E56" s="65"/>
      <c r="F56" s="65"/>
      <c r="M56" s="203"/>
      <c r="N56" s="203"/>
    </row>
    <row r="57" spans="1:14" x14ac:dyDescent="0.25">
      <c r="M57" s="203"/>
      <c r="N57" s="203"/>
    </row>
    <row r="58" spans="1:14" x14ac:dyDescent="0.25">
      <c r="M58" s="203"/>
      <c r="N58" s="203"/>
    </row>
  </sheetData>
  <sheetProtection password="C736" sheet="1" objects="1" scenarios="1"/>
  <sortState ref="N7:N11">
    <sortCondition ref="N7"/>
  </sortState>
  <conditionalFormatting sqref="B2:B4">
    <cfRule type="expression" dxfId="17" priority="3">
      <formula>LEN(TRIM(B2:B4))=0</formula>
    </cfRule>
  </conditionalFormatting>
  <conditionalFormatting sqref="A7:C7">
    <cfRule type="expression" dxfId="16" priority="2">
      <formula>LEN(TRIM(A7:C7))=0</formula>
    </cfRule>
  </conditionalFormatting>
  <conditionalFormatting sqref="E7:F7">
    <cfRule type="expression" dxfId="15" priority="1">
      <formula>LEN(TRIM(E7:F7))=0</formula>
    </cfRule>
  </conditionalFormatting>
  <dataValidations disablePrompts="1" count="2">
    <dataValidation type="list" allowBlank="1" showInputMessage="1" showErrorMessage="1" sqref="F7:F56">
      <formula1>INDIRECT(E7)</formula1>
    </dataValidation>
    <dataValidation type="list" allowBlank="1" showInputMessage="1" showErrorMessage="1" sqref="E7:E56">
      <formula1>groupe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Membres!$A$6:$A$41</xm:f>
          </x14:formula1>
          <xm:sqref>B2</xm:sqref>
        </x14:dataValidation>
        <x14:dataValidation type="list" allowBlank="1" showInputMessage="1" showErrorMessage="1">
          <x14:formula1>
            <xm:f>Bilan!$F$6:$F$19</xm:f>
          </x14:formula1>
          <xm:sqref>C7:C14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/>
  <dimension ref="A1:N58"/>
  <sheetViews>
    <sheetView workbookViewId="0">
      <selection activeCell="B1" sqref="B1"/>
    </sheetView>
  </sheetViews>
  <sheetFormatPr baseColWidth="10" defaultRowHeight="15" x14ac:dyDescent="0.25"/>
  <cols>
    <col min="1" max="1" width="22.85546875" style="221" customWidth="1"/>
    <col min="2" max="2" width="16.85546875" style="221" bestFit="1" customWidth="1"/>
    <col min="3" max="3" width="19.140625" style="221" customWidth="1"/>
    <col min="4" max="4" width="7.7109375" style="221" bestFit="1" customWidth="1"/>
    <col min="5" max="5" width="23" style="221" customWidth="1"/>
    <col min="6" max="6" width="23.5703125" style="221" customWidth="1"/>
    <col min="7" max="7" width="22.42578125" style="221" bestFit="1" customWidth="1"/>
    <col min="8" max="8" width="17.85546875" style="221" customWidth="1"/>
    <col min="9" max="9" width="2.85546875" style="221" customWidth="1"/>
    <col min="10" max="10" width="24.42578125" style="221" bestFit="1" customWidth="1"/>
    <col min="11" max="11" width="11.42578125" style="221"/>
  </cols>
  <sheetData>
    <row r="1" spans="1:14" x14ac:dyDescent="0.25">
      <c r="A1" s="161" t="s">
        <v>274</v>
      </c>
      <c r="B1" s="55" t="s">
        <v>528</v>
      </c>
      <c r="I1" s="68">
        <v>1</v>
      </c>
      <c r="J1" s="58" t="s">
        <v>251</v>
      </c>
      <c r="K1" s="55" t="str">
        <f>VLOOKUP(B2,Membres!A6:R200,3,FALSE)</f>
        <v>Alexis</v>
      </c>
    </row>
    <row r="2" spans="1:14" x14ac:dyDescent="0.25">
      <c r="A2" s="161" t="s">
        <v>244</v>
      </c>
      <c r="B2" s="210" t="s">
        <v>529</v>
      </c>
      <c r="I2" s="68">
        <f t="shared" ref="I2:I31" si="0">I1+1</f>
        <v>2</v>
      </c>
      <c r="J2" s="58" t="s">
        <v>248</v>
      </c>
      <c r="K2" s="55" t="str">
        <f>VLOOKUP(B2,Membres!A6:R200,2,FALSE)</f>
        <v>Potvin</v>
      </c>
    </row>
    <row r="3" spans="1:14" x14ac:dyDescent="0.25">
      <c r="A3" s="161" t="s">
        <v>13</v>
      </c>
      <c r="B3" s="210" t="s">
        <v>530</v>
      </c>
      <c r="I3" s="68">
        <f t="shared" si="0"/>
        <v>3</v>
      </c>
      <c r="J3" s="58" t="s">
        <v>252</v>
      </c>
      <c r="K3" s="55" t="s">
        <v>484</v>
      </c>
    </row>
    <row r="4" spans="1:14" x14ac:dyDescent="0.25">
      <c r="A4" s="161" t="s">
        <v>257</v>
      </c>
      <c r="B4" s="52">
        <v>0</v>
      </c>
      <c r="I4" s="68">
        <f t="shared" si="0"/>
        <v>4</v>
      </c>
      <c r="J4" s="58" t="s">
        <v>253</v>
      </c>
      <c r="K4" s="55" t="str">
        <f>VLOOKUP(B2,Membres!A6:R200,4,FALSE)</f>
        <v>POTA11029402</v>
      </c>
    </row>
    <row r="5" spans="1:14" x14ac:dyDescent="0.25">
      <c r="I5" s="68">
        <f t="shared" si="0"/>
        <v>5</v>
      </c>
      <c r="J5" s="58" t="s">
        <v>16</v>
      </c>
      <c r="K5" s="57">
        <v>42649</v>
      </c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H6" s="222"/>
      <c r="I6" s="68">
        <f t="shared" si="0"/>
        <v>6</v>
      </c>
      <c r="J6" s="58" t="s">
        <v>277</v>
      </c>
      <c r="K6" s="55" t="str">
        <f>VLOOKUP(B2,Membres!A6:R200,6,FALSE)</f>
        <v>514-561-4838</v>
      </c>
    </row>
    <row r="7" spans="1:14" x14ac:dyDescent="0.25">
      <c r="A7" s="209" t="s">
        <v>531</v>
      </c>
      <c r="B7" s="164">
        <v>33.5</v>
      </c>
      <c r="C7" s="210" t="s">
        <v>4</v>
      </c>
      <c r="D7" s="60">
        <f>IF(ISBLANK(C7),"",VLOOKUP(C7,Bilan!$F$6:$G$25,2,FALSE))</f>
        <v>53111</v>
      </c>
      <c r="E7" s="65"/>
      <c r="F7" s="65"/>
      <c r="H7" s="222"/>
      <c r="I7" s="68">
        <f t="shared" si="0"/>
        <v>7</v>
      </c>
      <c r="J7" s="58" t="s">
        <v>254</v>
      </c>
      <c r="K7" s="55" t="s">
        <v>155</v>
      </c>
      <c r="M7" s="203">
        <f>1</f>
        <v>1</v>
      </c>
      <c r="N7" s="203">
        <v>53111</v>
      </c>
    </row>
    <row r="8" spans="1:14" x14ac:dyDescent="0.25">
      <c r="A8" s="209" t="s">
        <v>532</v>
      </c>
      <c r="B8" s="164">
        <v>22</v>
      </c>
      <c r="C8" s="210" t="s">
        <v>10</v>
      </c>
      <c r="D8" s="60">
        <f>IF(ISBLANK(C8),"",VLOOKUP(C8,Bilan!$F$6:$G$25,2,FALSE))</f>
        <v>57253</v>
      </c>
      <c r="E8" s="65"/>
      <c r="F8" s="65"/>
      <c r="H8" s="222"/>
      <c r="I8" s="68">
        <f t="shared" si="0"/>
        <v>8</v>
      </c>
      <c r="J8" s="58" t="s">
        <v>255</v>
      </c>
      <c r="K8" s="55" t="s">
        <v>485</v>
      </c>
      <c r="M8" s="203">
        <f>IF(N8=N7,M7,M7+1)</f>
        <v>2</v>
      </c>
      <c r="N8" s="203">
        <v>57253</v>
      </c>
    </row>
    <row r="9" spans="1:14" x14ac:dyDescent="0.25">
      <c r="A9" s="210" t="s">
        <v>533</v>
      </c>
      <c r="B9" s="52">
        <v>29.99</v>
      </c>
      <c r="C9" s="210" t="s">
        <v>10</v>
      </c>
      <c r="D9" s="60">
        <f>IF(ISBLANK(C9),"",VLOOKUP(C9,Bilan!$F$6:$G$25,2,FALSE))</f>
        <v>57253</v>
      </c>
      <c r="E9" s="65"/>
      <c r="F9" s="65"/>
      <c r="I9" s="68">
        <f t="shared" si="0"/>
        <v>9</v>
      </c>
      <c r="J9" s="58" t="s">
        <v>256</v>
      </c>
      <c r="K9" s="193">
        <f>K18-B4</f>
        <v>103.86999999999999</v>
      </c>
      <c r="M9" s="203">
        <f t="shared" ref="M9:M11" si="1">IF(N9=N8,M8,M8+1)</f>
        <v>2</v>
      </c>
      <c r="N9" s="203">
        <v>57253</v>
      </c>
    </row>
    <row r="10" spans="1:14" x14ac:dyDescent="0.25">
      <c r="A10" s="210" t="s">
        <v>534</v>
      </c>
      <c r="B10" s="52">
        <v>18.38</v>
      </c>
      <c r="C10" s="210" t="s">
        <v>10</v>
      </c>
      <c r="D10" s="60">
        <f>IF(ISBLANK(C10),"",VLOOKUP(C10,Bilan!$F$6:$G$25,2,FALSE))</f>
        <v>57253</v>
      </c>
      <c r="E10" s="65"/>
      <c r="F10" s="65"/>
      <c r="I10" s="68">
        <f t="shared" si="0"/>
        <v>10</v>
      </c>
      <c r="J10" s="58" t="s">
        <v>258</v>
      </c>
      <c r="K10" s="55" t="str">
        <f>B2</f>
        <v>Alexis Potvin</v>
      </c>
      <c r="M10" s="203">
        <f t="shared" si="1"/>
        <v>2</v>
      </c>
      <c r="N10" s="203">
        <v>57253</v>
      </c>
    </row>
    <row r="11" spans="1:14" x14ac:dyDescent="0.25">
      <c r="A11" s="210"/>
      <c r="B11" s="52"/>
      <c r="C11" s="210"/>
      <c r="D11" s="60" t="str">
        <f>IF(ISBLANK(C11),"",VLOOKUP(C11,Bilan!$F$6:$G$25,2,FALSE))</f>
        <v/>
      </c>
      <c r="E11" s="65"/>
      <c r="F11" s="65"/>
      <c r="I11" s="68">
        <f t="shared" si="0"/>
        <v>11</v>
      </c>
      <c r="J11" s="58" t="s">
        <v>259</v>
      </c>
      <c r="K11" s="55"/>
      <c r="M11" s="203">
        <f t="shared" si="1"/>
        <v>3</v>
      </c>
      <c r="N11" s="203"/>
    </row>
    <row r="12" spans="1:14" x14ac:dyDescent="0.25">
      <c r="A12" s="210"/>
      <c r="B12" s="52"/>
      <c r="C12" s="210"/>
      <c r="D12" s="60" t="str">
        <f>IF(ISBLANK(C12),"",VLOOKUP(C12,Bilan!$F$6:$G$25,2,FALSE))</f>
        <v/>
      </c>
      <c r="E12" s="65"/>
      <c r="F12" s="65"/>
      <c r="I12" s="68">
        <f t="shared" si="0"/>
        <v>12</v>
      </c>
      <c r="J12" s="58" t="s">
        <v>260</v>
      </c>
      <c r="K12" s="55"/>
      <c r="M12" s="203"/>
      <c r="N12" s="203"/>
    </row>
    <row r="13" spans="1:14" x14ac:dyDescent="0.25">
      <c r="A13" s="210"/>
      <c r="B13" s="52"/>
      <c r="C13" s="210"/>
      <c r="D13" s="55" t="str">
        <f>IF(ISBLANK(C13),"",VLOOKUP(C13,Bilan!$F$6:$G$25,2,FALSE))</f>
        <v/>
      </c>
      <c r="E13" s="65"/>
      <c r="F13" s="65"/>
      <c r="I13" s="68">
        <f t="shared" si="0"/>
        <v>13</v>
      </c>
      <c r="J13" s="58" t="s">
        <v>249</v>
      </c>
      <c r="K13" s="55" t="str">
        <f>VLOOKUP(B2,Membres!A6:R200,8,FALSE)</f>
        <v>317 Av. Edison Saint-Lambert</v>
      </c>
      <c r="M13" s="203"/>
      <c r="N13" s="203"/>
    </row>
    <row r="14" spans="1:14" ht="15.75" thickBot="1" x14ac:dyDescent="0.3">
      <c r="A14" s="211"/>
      <c r="B14" s="190"/>
      <c r="C14" s="211"/>
      <c r="D14" s="191" t="str">
        <f>IF(ISBLANK(C14),"",VLOOKUP(C14,Bilan!$F$6:$G$25,2,FALSE))</f>
        <v/>
      </c>
      <c r="E14" s="192"/>
      <c r="F14" s="192"/>
      <c r="I14" s="68">
        <f t="shared" si="0"/>
        <v>14</v>
      </c>
      <c r="J14" s="58" t="s">
        <v>17</v>
      </c>
      <c r="K14" s="55" t="str">
        <f>VLOOKUP(B2,Membres!A6:R200,11,FALSE)</f>
        <v>Qc</v>
      </c>
      <c r="M14" s="203"/>
      <c r="N14" s="203"/>
    </row>
    <row r="15" spans="1:14" ht="15.75" thickTop="1" x14ac:dyDescent="0.25">
      <c r="A15" s="212"/>
      <c r="B15" s="53"/>
      <c r="C15" s="212"/>
      <c r="D15" s="56" t="str">
        <f>IF(ISBLANK(C15),"",VLOOKUP(C15,Bilan!$F$6:$G$25,2,FALSE))</f>
        <v/>
      </c>
      <c r="E15" s="66"/>
      <c r="F15" s="66"/>
      <c r="I15" s="68">
        <f t="shared" si="0"/>
        <v>15</v>
      </c>
      <c r="J15" s="58" t="s">
        <v>261</v>
      </c>
      <c r="K15" s="55" t="str">
        <f>VLOOKUP(B2,Membres!A6:R200,10,FALSE)</f>
        <v>j4r 2p8</v>
      </c>
      <c r="M15" s="203"/>
      <c r="N15" s="203"/>
    </row>
    <row r="16" spans="1:14" x14ac:dyDescent="0.25">
      <c r="A16" s="210"/>
      <c r="B16" s="52"/>
      <c r="C16" s="210"/>
      <c r="D16" s="55" t="str">
        <f>IF(ISBLANK(C16),"",VLOOKUP(C16,Bilan!$F$6:$G$25,2,FALSE))</f>
        <v/>
      </c>
      <c r="E16" s="65"/>
      <c r="F16" s="65"/>
      <c r="I16" s="68">
        <f t="shared" si="0"/>
        <v>16</v>
      </c>
      <c r="J16" s="58" t="s">
        <v>250</v>
      </c>
      <c r="K16" s="55" t="str">
        <f>VLOOKUP(B2,Membres!A6:R200,9,FALSE)</f>
        <v>Longueuil</v>
      </c>
      <c r="M16" s="203"/>
      <c r="N16" s="203"/>
    </row>
    <row r="17" spans="1:14" x14ac:dyDescent="0.25">
      <c r="A17" s="210"/>
      <c r="B17" s="52"/>
      <c r="C17" s="210"/>
      <c r="D17" s="55" t="str">
        <f>IF(ISBLANK(C17),"",VLOOKUP(C17,Bilan!$F$6:$G$25,2,FALSE))</f>
        <v/>
      </c>
      <c r="E17" s="65"/>
      <c r="F17" s="65"/>
      <c r="I17" s="68">
        <f t="shared" si="0"/>
        <v>17</v>
      </c>
      <c r="J17" s="58" t="s">
        <v>14</v>
      </c>
      <c r="K17" s="55" t="str">
        <f>VLOOKUP(B2,Membres!A6:R200,7,FALSE)</f>
        <v>alexis.potvin.001@gmail.com</v>
      </c>
      <c r="M17" s="203"/>
      <c r="N17" s="203"/>
    </row>
    <row r="18" spans="1:14" x14ac:dyDescent="0.25">
      <c r="A18" s="210"/>
      <c r="B18" s="52"/>
      <c r="C18" s="210"/>
      <c r="D18" s="57" t="str">
        <f>IF(ISBLANK(C18),"",VLOOKUP(C18,Bilan!$F$6:$G$25,2,FALSE))</f>
        <v/>
      </c>
      <c r="E18" s="65"/>
      <c r="F18" s="65"/>
      <c r="G18" s="49"/>
      <c r="H18" s="49"/>
      <c r="I18" s="68">
        <f t="shared" si="0"/>
        <v>18</v>
      </c>
      <c r="J18" s="58" t="s">
        <v>262</v>
      </c>
      <c r="K18" s="59">
        <f>SUM(B7:B100)</f>
        <v>103.86999999999999</v>
      </c>
      <c r="M18" s="203"/>
      <c r="N18" s="203"/>
    </row>
    <row r="19" spans="1:14" x14ac:dyDescent="0.25">
      <c r="A19" s="210"/>
      <c r="B19" s="52"/>
      <c r="C19" s="210"/>
      <c r="D19" s="55" t="str">
        <f>IF(ISBLANK(C19),"",VLOOKUP(C19,Bilan!$F$6:$G$25,2,FALSE))</f>
        <v/>
      </c>
      <c r="E19" s="65"/>
      <c r="F19" s="65"/>
      <c r="I19" s="68">
        <f t="shared" si="0"/>
        <v>19</v>
      </c>
      <c r="J19" s="58" t="s">
        <v>263</v>
      </c>
      <c r="K19" s="59">
        <f>SUMIFS(B7:B58,D7:D58,K24)</f>
        <v>33.5</v>
      </c>
      <c r="M19" s="203"/>
      <c r="N19" s="203"/>
    </row>
    <row r="20" spans="1:14" x14ac:dyDescent="0.25">
      <c r="A20" s="210"/>
      <c r="B20" s="52"/>
      <c r="C20" s="210"/>
      <c r="D20" s="55" t="str">
        <f>IF(ISBLANK(C20),"",VLOOKUP(C20,Bilan!$F$6:$G$25,2,FALSE))</f>
        <v/>
      </c>
      <c r="E20" s="65"/>
      <c r="F20" s="65"/>
      <c r="I20" s="68">
        <f t="shared" si="0"/>
        <v>20</v>
      </c>
      <c r="J20" s="58" t="s">
        <v>264</v>
      </c>
      <c r="K20" s="59">
        <f>SUMIFS(B7:B58,D7:D58,K25)</f>
        <v>70.36999999999999</v>
      </c>
      <c r="M20" s="203"/>
      <c r="N20" s="203"/>
    </row>
    <row r="21" spans="1:14" x14ac:dyDescent="0.25">
      <c r="A21" s="210"/>
      <c r="B21" s="52"/>
      <c r="C21" s="210"/>
      <c r="D21" s="55" t="str">
        <f>IF(ISBLANK(C21),"",VLOOKUP(C21,Bilan!$F$6:$G$25,2,FALSE))</f>
        <v/>
      </c>
      <c r="E21" s="65"/>
      <c r="F21" s="65"/>
      <c r="I21" s="68">
        <f t="shared" si="0"/>
        <v>21</v>
      </c>
      <c r="J21" s="58" t="s">
        <v>265</v>
      </c>
      <c r="K21" s="59">
        <f>SUMIFS(B7:B58,D7:D58,K26)</f>
        <v>0</v>
      </c>
      <c r="M21" s="203"/>
      <c r="N21" s="203"/>
    </row>
    <row r="22" spans="1:14" x14ac:dyDescent="0.25">
      <c r="A22" s="210"/>
      <c r="B22" s="52"/>
      <c r="C22" s="210"/>
      <c r="D22" s="55" t="str">
        <f>IF(ISBLANK(C22),"",VLOOKUP(C22,Bilan!$F$6:$G$25,2,FALSE))</f>
        <v/>
      </c>
      <c r="E22" s="65"/>
      <c r="F22" s="65"/>
      <c r="I22" s="68">
        <f t="shared" si="0"/>
        <v>22</v>
      </c>
      <c r="J22" s="58" t="s">
        <v>266</v>
      </c>
      <c r="K22" s="59">
        <f>SUMIFS(B7:B58,D7:D58,K27)</f>
        <v>0</v>
      </c>
      <c r="M22" s="203"/>
      <c r="N22" s="203"/>
    </row>
    <row r="23" spans="1:14" x14ac:dyDescent="0.25">
      <c r="A23" s="210"/>
      <c r="B23" s="52"/>
      <c r="C23" s="210"/>
      <c r="D23" s="55" t="str">
        <f>IF(ISBLANK(C23),"",VLOOKUP(C23,Bilan!$F$6:$G$25,2,FALSE))</f>
        <v/>
      </c>
      <c r="E23" s="65"/>
      <c r="F23" s="65"/>
      <c r="I23" s="68">
        <f t="shared" si="0"/>
        <v>23</v>
      </c>
      <c r="J23" s="58" t="s">
        <v>267</v>
      </c>
      <c r="K23" s="59">
        <f>SUMIFS(B7:B58,D7:D58,K28)</f>
        <v>0</v>
      </c>
      <c r="M23" s="203"/>
      <c r="N23" s="203"/>
    </row>
    <row r="24" spans="1:14" x14ac:dyDescent="0.25">
      <c r="A24" s="210"/>
      <c r="B24" s="52"/>
      <c r="C24" s="210"/>
      <c r="D24" s="55" t="str">
        <f>IF(ISBLANK(C24),"",VLOOKUP(C24,Bilan!$F$6:$G$25,2,FALSE))</f>
        <v/>
      </c>
      <c r="E24" s="65"/>
      <c r="F24" s="65"/>
      <c r="I24" s="68">
        <f t="shared" si="0"/>
        <v>24</v>
      </c>
      <c r="J24" s="58" t="s">
        <v>268</v>
      </c>
      <c r="K24" s="55">
        <f>IF(ISERROR(VLOOKUP(1,M7:N58,2,FALSE))," ",VLOOKUP(1,M7:N58,2,FALSE))</f>
        <v>53111</v>
      </c>
      <c r="M24" s="203"/>
      <c r="N24" s="203"/>
    </row>
    <row r="25" spans="1:14" x14ac:dyDescent="0.25">
      <c r="A25" s="210"/>
      <c r="B25" s="52"/>
      <c r="C25" s="210"/>
      <c r="D25" s="55" t="str">
        <f>IF(ISBLANK(C25),"",VLOOKUP(C25,Bilan!$F$6:$G$25,2,FALSE))</f>
        <v/>
      </c>
      <c r="E25" s="65"/>
      <c r="F25" s="65"/>
      <c r="I25" s="68">
        <f t="shared" si="0"/>
        <v>25</v>
      </c>
      <c r="J25" s="58" t="s">
        <v>269</v>
      </c>
      <c r="K25" s="55">
        <f>IF(ISERROR(VLOOKUP(2,M7:N58,2,FALSE))," ",VLOOKUP(2,M7:N58,2,FALSE))</f>
        <v>57253</v>
      </c>
      <c r="M25" s="203"/>
      <c r="N25" s="203"/>
    </row>
    <row r="26" spans="1:14" x14ac:dyDescent="0.25">
      <c r="A26" s="210"/>
      <c r="B26" s="52"/>
      <c r="C26" s="210"/>
      <c r="D26" s="55" t="str">
        <f>IF(ISBLANK(C26),"",VLOOKUP(C26,Bilan!$F$6:$G$25,2,FALSE))</f>
        <v/>
      </c>
      <c r="E26" s="65"/>
      <c r="F26" s="65"/>
      <c r="I26" s="68">
        <f t="shared" si="0"/>
        <v>26</v>
      </c>
      <c r="J26" s="58" t="s">
        <v>270</v>
      </c>
      <c r="K26" s="55">
        <f>IF(ISERROR(VLOOKUP(3,M7:N58,2,FALSE))," ",VLOOKUP(3,M7:N58,2,FALSE))</f>
        <v>0</v>
      </c>
      <c r="M26" s="203"/>
      <c r="N26" s="203"/>
    </row>
    <row r="27" spans="1:14" x14ac:dyDescent="0.25">
      <c r="A27" s="210"/>
      <c r="B27" s="52"/>
      <c r="C27" s="210"/>
      <c r="D27" s="55" t="str">
        <f>IF(ISBLANK(C27),"",VLOOKUP(C27,Bilan!$F$6:$G$25,2,FALSE))</f>
        <v/>
      </c>
      <c r="E27" s="65"/>
      <c r="F27" s="65"/>
      <c r="I27" s="68">
        <f t="shared" si="0"/>
        <v>27</v>
      </c>
      <c r="J27" s="58" t="s">
        <v>271</v>
      </c>
      <c r="K27" s="55" t="str">
        <f>IF(ISERROR(VLOOKUP(4,M7:N58,2,FALSE))," ",VLOOKUP(4,M7:N58,2,FALSE))</f>
        <v xml:space="preserve"> </v>
      </c>
      <c r="M27" s="203"/>
      <c r="N27" s="203"/>
    </row>
    <row r="28" spans="1:14" x14ac:dyDescent="0.25">
      <c r="A28" s="210"/>
      <c r="B28" s="52"/>
      <c r="C28" s="210"/>
      <c r="D28" s="55" t="str">
        <f>IF(ISBLANK(C28),"",VLOOKUP(C28,Bilan!$F$6:$G$25,2,FALSE))</f>
        <v/>
      </c>
      <c r="E28" s="65"/>
      <c r="F28" s="65"/>
      <c r="I28" s="68">
        <f t="shared" si="0"/>
        <v>28</v>
      </c>
      <c r="J28" s="58" t="s">
        <v>272</v>
      </c>
      <c r="K28" s="55" t="str">
        <f>IF(ISERROR(VLOOKUP(5,M7:N58,2,FALSE))," ",VLOOKUP(5,M7:N58,2,FALSE))</f>
        <v xml:space="preserve"> </v>
      </c>
      <c r="M28" s="203"/>
      <c r="N28" s="203"/>
    </row>
    <row r="29" spans="1:14" x14ac:dyDescent="0.25">
      <c r="A29" s="210"/>
      <c r="B29" s="52"/>
      <c r="C29" s="210"/>
      <c r="D29" s="55" t="str">
        <f>IF(ISBLANK(C29),"",VLOOKUP(C29,Bilan!$F$6:$G$25,2,FALSE))</f>
        <v/>
      </c>
      <c r="E29" s="65"/>
      <c r="F29" s="65"/>
      <c r="I29" s="68">
        <f t="shared" si="0"/>
        <v>29</v>
      </c>
      <c r="J29" s="58" t="s">
        <v>19</v>
      </c>
      <c r="K29" s="55">
        <v>300050</v>
      </c>
      <c r="M29" s="203"/>
      <c r="N29" s="203"/>
    </row>
    <row r="30" spans="1:14" x14ac:dyDescent="0.25">
      <c r="A30" s="210"/>
      <c r="B30" s="52"/>
      <c r="C30" s="210"/>
      <c r="D30" s="55" t="str">
        <f>IF(ISBLANK(C30),"",VLOOKUP(C30,Bilan!$F$6:$G$25,2,FALSE))</f>
        <v/>
      </c>
      <c r="E30" s="65"/>
      <c r="F30" s="65"/>
      <c r="I30" s="68">
        <f t="shared" si="0"/>
        <v>30</v>
      </c>
      <c r="J30" s="58" t="s">
        <v>275</v>
      </c>
      <c r="K30" s="55" t="s">
        <v>486</v>
      </c>
      <c r="M30" s="203"/>
      <c r="N30" s="203"/>
    </row>
    <row r="31" spans="1:14" x14ac:dyDescent="0.25">
      <c r="A31" s="210"/>
      <c r="B31" s="48"/>
      <c r="C31" s="210"/>
      <c r="D31" s="58" t="str">
        <f>IF(ISBLANK(C31),"",VLOOKUP(C31,Bilan!$F$6:$G$25,2,FALSE))</f>
        <v/>
      </c>
      <c r="E31" s="65"/>
      <c r="F31" s="65"/>
      <c r="I31" s="68">
        <f t="shared" si="0"/>
        <v>31</v>
      </c>
      <c r="J31" s="58" t="s">
        <v>276</v>
      </c>
      <c r="K31" s="55">
        <f>IF(ISBLANK(A15),0,1)</f>
        <v>0</v>
      </c>
      <c r="M31" s="203"/>
      <c r="N31" s="203"/>
    </row>
    <row r="32" spans="1:14" x14ac:dyDescent="0.25">
      <c r="A32" s="210"/>
      <c r="B32" s="48"/>
      <c r="C32" s="210"/>
      <c r="D32" s="58" t="str">
        <f>IF(ISBLANK(C32),"",VLOOKUP(C32,Bilan!$F$6:$G$25,2,FALSE))</f>
        <v/>
      </c>
      <c r="E32" s="65"/>
      <c r="F32" s="65"/>
      <c r="M32" s="203"/>
      <c r="N32" s="203"/>
    </row>
    <row r="33" spans="1:14" x14ac:dyDescent="0.25">
      <c r="A33" s="210"/>
      <c r="B33" s="48"/>
      <c r="C33" s="210"/>
      <c r="D33" s="58" t="str">
        <f>IF(ISBLANK(C33),"",VLOOKUP(C33,Bilan!$F$6:$G$25,2,FALSE))</f>
        <v/>
      </c>
      <c r="E33" s="65"/>
      <c r="F33" s="65"/>
      <c r="M33" s="203"/>
      <c r="N33" s="203"/>
    </row>
    <row r="34" spans="1:14" x14ac:dyDescent="0.25">
      <c r="A34" s="210"/>
      <c r="B34" s="48"/>
      <c r="C34" s="210"/>
      <c r="D34" s="58" t="str">
        <f>IF(ISBLANK(C34),"",VLOOKUP(C34,Bilan!$F$6:$G$25,2,FALSE))</f>
        <v/>
      </c>
      <c r="E34" s="65"/>
      <c r="F34" s="65"/>
      <c r="M34" s="203"/>
      <c r="N34" s="203"/>
    </row>
    <row r="35" spans="1:14" x14ac:dyDescent="0.25">
      <c r="A35" s="210"/>
      <c r="B35" s="48"/>
      <c r="C35" s="210"/>
      <c r="D35" s="58" t="str">
        <f>IF(ISBLANK(C35),"",VLOOKUP(C35,Bilan!$F$6:$G$25,2,FALSE))</f>
        <v/>
      </c>
      <c r="E35" s="65"/>
      <c r="F35" s="65"/>
      <c r="M35" s="203"/>
      <c r="N35" s="203"/>
    </row>
    <row r="36" spans="1:14" x14ac:dyDescent="0.25">
      <c r="A36" s="210"/>
      <c r="B36" s="48"/>
      <c r="C36" s="210"/>
      <c r="D36" s="58" t="str">
        <f>IF(ISBLANK(C36),"",VLOOKUP(C36,Bilan!$F$6:$G$25,2,FALSE))</f>
        <v/>
      </c>
      <c r="E36" s="65"/>
      <c r="F36" s="65"/>
      <c r="M36" s="203"/>
      <c r="N36" s="203"/>
    </row>
    <row r="37" spans="1:14" x14ac:dyDescent="0.25">
      <c r="A37" s="210"/>
      <c r="B37" s="48"/>
      <c r="C37" s="210"/>
      <c r="D37" s="58" t="str">
        <f>IF(ISBLANK(C37),"",VLOOKUP(C37,Bilan!$F$6:$G$25,2,FALSE))</f>
        <v/>
      </c>
      <c r="E37" s="65"/>
      <c r="F37" s="65"/>
      <c r="M37" s="203"/>
      <c r="N37" s="203"/>
    </row>
    <row r="38" spans="1:14" x14ac:dyDescent="0.25">
      <c r="A38" s="210"/>
      <c r="B38" s="48"/>
      <c r="C38" s="210"/>
      <c r="D38" s="58" t="str">
        <f>IF(ISBLANK(C38),"",VLOOKUP(C38,Bilan!$F$6:$G$25,2,FALSE))</f>
        <v/>
      </c>
      <c r="E38" s="65"/>
      <c r="F38" s="65"/>
      <c r="M38" s="203"/>
      <c r="N38" s="203"/>
    </row>
    <row r="39" spans="1:14" x14ac:dyDescent="0.25">
      <c r="A39" s="210"/>
      <c r="B39" s="48"/>
      <c r="C39" s="210"/>
      <c r="D39" s="58" t="str">
        <f>IF(ISBLANK(C39),"",VLOOKUP(C39,Bilan!$F$6:$G$25,2,FALSE))</f>
        <v/>
      </c>
      <c r="E39" s="65"/>
      <c r="F39" s="65"/>
      <c r="M39" s="203"/>
      <c r="N39" s="203"/>
    </row>
    <row r="40" spans="1:14" x14ac:dyDescent="0.25">
      <c r="A40" s="210"/>
      <c r="B40" s="48"/>
      <c r="C40" s="210"/>
      <c r="D40" s="58" t="str">
        <f>IF(ISBLANK(C40),"",VLOOKUP(C40,Bilan!$F$6:$G$25,2,FALSE))</f>
        <v/>
      </c>
      <c r="E40" s="65"/>
      <c r="F40" s="65"/>
      <c r="M40" s="203"/>
      <c r="N40" s="203"/>
    </row>
    <row r="41" spans="1:14" x14ac:dyDescent="0.25">
      <c r="A41" s="210"/>
      <c r="B41" s="48"/>
      <c r="C41" s="210"/>
      <c r="D41" s="58" t="str">
        <f>IF(ISBLANK(C41),"",VLOOKUP(C41,Bilan!$F$6:$G$25,2,FALSE))</f>
        <v/>
      </c>
      <c r="E41" s="65"/>
      <c r="F41" s="65"/>
      <c r="M41" s="203"/>
      <c r="N41" s="203"/>
    </row>
    <row r="42" spans="1:14" x14ac:dyDescent="0.25">
      <c r="A42" s="210"/>
      <c r="B42" s="48"/>
      <c r="C42" s="210"/>
      <c r="D42" s="58" t="str">
        <f>IF(ISBLANK(C42),"",VLOOKUP(C42,Bilan!$F$6:$G$25,2,FALSE))</f>
        <v/>
      </c>
      <c r="E42" s="65"/>
      <c r="F42" s="65"/>
      <c r="M42" s="203"/>
      <c r="N42" s="203"/>
    </row>
    <row r="43" spans="1:14" x14ac:dyDescent="0.25">
      <c r="A43" s="210"/>
      <c r="B43" s="48"/>
      <c r="C43" s="210"/>
      <c r="D43" s="58" t="str">
        <f>IF(ISBLANK(C43),"",VLOOKUP(C43,Bilan!$F$6:$G$25,2,FALSE))</f>
        <v/>
      </c>
      <c r="E43" s="65"/>
      <c r="F43" s="65"/>
      <c r="M43" s="203"/>
      <c r="N43" s="203"/>
    </row>
    <row r="44" spans="1:14" x14ac:dyDescent="0.25">
      <c r="A44" s="210"/>
      <c r="B44" s="48"/>
      <c r="C44" s="210"/>
      <c r="D44" s="58" t="str">
        <f>IF(ISBLANK(C44),"",VLOOKUP(C44,Bilan!$F$6:$G$25,2,FALSE))</f>
        <v/>
      </c>
      <c r="E44" s="65"/>
      <c r="F44" s="65"/>
      <c r="M44" s="203"/>
      <c r="N44" s="203"/>
    </row>
    <row r="45" spans="1:14" x14ac:dyDescent="0.25">
      <c r="A45" s="210"/>
      <c r="B45" s="48"/>
      <c r="C45" s="210"/>
      <c r="D45" s="58" t="str">
        <f>IF(ISBLANK(C45),"",VLOOKUP(C45,Bilan!$F$6:$G$25,2,FALSE))</f>
        <v/>
      </c>
      <c r="E45" s="65"/>
      <c r="F45" s="65"/>
      <c r="M45" s="203"/>
      <c r="N45" s="203"/>
    </row>
    <row r="46" spans="1:14" x14ac:dyDescent="0.25">
      <c r="A46" s="210"/>
      <c r="B46" s="48"/>
      <c r="C46" s="210"/>
      <c r="D46" s="58" t="str">
        <f>IF(ISBLANK(C46),"",VLOOKUP(C46,Bilan!$F$6:$G$25,2,FALSE))</f>
        <v/>
      </c>
      <c r="E46" s="65"/>
      <c r="F46" s="65"/>
      <c r="M46" s="203"/>
      <c r="N46" s="203"/>
    </row>
    <row r="47" spans="1:14" x14ac:dyDescent="0.25">
      <c r="A47" s="210"/>
      <c r="B47" s="48"/>
      <c r="C47" s="210"/>
      <c r="D47" s="58" t="str">
        <f>IF(ISBLANK(C47),"",VLOOKUP(C47,Bilan!$F$6:$G$25,2,FALSE))</f>
        <v/>
      </c>
      <c r="E47" s="65"/>
      <c r="F47" s="65"/>
      <c r="M47" s="203"/>
      <c r="N47" s="203"/>
    </row>
    <row r="48" spans="1:14" x14ac:dyDescent="0.25">
      <c r="A48" s="210"/>
      <c r="B48" s="48"/>
      <c r="C48" s="210"/>
      <c r="D48" s="58" t="str">
        <f>IF(ISBLANK(C48),"",VLOOKUP(C48,Bilan!$F$6:$G$25,2,FALSE))</f>
        <v/>
      </c>
      <c r="E48" s="65"/>
      <c r="F48" s="65"/>
      <c r="M48" s="203"/>
      <c r="N48" s="203"/>
    </row>
    <row r="49" spans="1:14" x14ac:dyDescent="0.25">
      <c r="A49" s="210"/>
      <c r="B49" s="48"/>
      <c r="C49" s="210"/>
      <c r="D49" s="58" t="str">
        <f>IF(ISBLANK(C49),"",VLOOKUP(C49,Bilan!$F$6:$G$25,2,FALSE))</f>
        <v/>
      </c>
      <c r="E49" s="65"/>
      <c r="F49" s="65"/>
      <c r="M49" s="203"/>
      <c r="N49" s="203"/>
    </row>
    <row r="50" spans="1:14" x14ac:dyDescent="0.25">
      <c r="A50" s="210"/>
      <c r="B50" s="48"/>
      <c r="C50" s="210"/>
      <c r="D50" s="58" t="str">
        <f>IF(ISBLANK(C50),"",VLOOKUP(C50,Bilan!$F$6:$G$25,2,FALSE))</f>
        <v/>
      </c>
      <c r="E50" s="65"/>
      <c r="F50" s="65"/>
      <c r="M50" s="203"/>
      <c r="N50" s="203"/>
    </row>
    <row r="51" spans="1:14" x14ac:dyDescent="0.25">
      <c r="A51" s="210"/>
      <c r="B51" s="48"/>
      <c r="C51" s="210"/>
      <c r="D51" s="58" t="str">
        <f>IF(ISBLANK(C51),"",VLOOKUP(C51,Bilan!$F$6:$G$25,2,FALSE))</f>
        <v/>
      </c>
      <c r="E51" s="65"/>
      <c r="F51" s="65"/>
      <c r="M51" s="203"/>
      <c r="N51" s="203"/>
    </row>
    <row r="52" spans="1:14" x14ac:dyDescent="0.25">
      <c r="A52" s="210"/>
      <c r="B52" s="48"/>
      <c r="C52" s="210"/>
      <c r="D52" s="58" t="str">
        <f>IF(ISBLANK(C52),"",VLOOKUP(C52,Bilan!$F$6:$G$25,2,FALSE))</f>
        <v/>
      </c>
      <c r="E52" s="65"/>
      <c r="F52" s="65"/>
      <c r="M52" s="203"/>
      <c r="N52" s="203"/>
    </row>
    <row r="53" spans="1:14" x14ac:dyDescent="0.25">
      <c r="A53" s="210"/>
      <c r="B53" s="48"/>
      <c r="C53" s="210"/>
      <c r="D53" s="58" t="str">
        <f>IF(ISBLANK(C53),"",VLOOKUP(C53,Bilan!$F$6:$G$25,2,FALSE))</f>
        <v/>
      </c>
      <c r="E53" s="65"/>
      <c r="F53" s="65"/>
      <c r="M53" s="203"/>
      <c r="N53" s="203"/>
    </row>
    <row r="54" spans="1:14" x14ac:dyDescent="0.25">
      <c r="A54" s="210"/>
      <c r="B54" s="48"/>
      <c r="C54" s="210"/>
      <c r="D54" s="58" t="str">
        <f>IF(ISBLANK(C54),"",VLOOKUP(C54,Bilan!$F$6:$G$25,2,FALSE))</f>
        <v/>
      </c>
      <c r="E54" s="65"/>
      <c r="F54" s="65"/>
      <c r="M54" s="203"/>
      <c r="N54" s="203"/>
    </row>
    <row r="55" spans="1:14" x14ac:dyDescent="0.25">
      <c r="A55" s="210"/>
      <c r="B55" s="48"/>
      <c r="C55" s="210"/>
      <c r="D55" s="58" t="str">
        <f>IF(ISBLANK(C55),"",VLOOKUP(C55,Bilan!$F$6:$G$25,2,FALSE))</f>
        <v/>
      </c>
      <c r="E55" s="65"/>
      <c r="F55" s="65"/>
      <c r="M55" s="203"/>
      <c r="N55" s="203"/>
    </row>
    <row r="56" spans="1:14" x14ac:dyDescent="0.25">
      <c r="A56" s="210"/>
      <c r="B56" s="48"/>
      <c r="C56" s="210"/>
      <c r="D56" s="58" t="str">
        <f>IF(ISBLANK(C56),"",VLOOKUP(C56,Bilan!$F$6:$G$25,2,FALSE))</f>
        <v/>
      </c>
      <c r="E56" s="65"/>
      <c r="F56" s="65"/>
      <c r="M56" s="203"/>
      <c r="N56" s="203"/>
    </row>
    <row r="57" spans="1:14" x14ac:dyDescent="0.25">
      <c r="M57" s="203"/>
      <c r="N57" s="203"/>
    </row>
    <row r="58" spans="1:14" x14ac:dyDescent="0.25">
      <c r="M58" s="203"/>
      <c r="N58" s="203"/>
    </row>
  </sheetData>
  <sheetProtection password="C736" sheet="1" objects="1" scenarios="1"/>
  <sortState ref="N7:N10">
    <sortCondition ref="N7"/>
  </sortState>
  <conditionalFormatting sqref="B2:B4">
    <cfRule type="expression" dxfId="14" priority="3">
      <formula>LEN(TRIM(B2:B4))=0</formula>
    </cfRule>
  </conditionalFormatting>
  <conditionalFormatting sqref="A7:C7">
    <cfRule type="expression" dxfId="13" priority="2">
      <formula>LEN(TRIM(A7:C7))=0</formula>
    </cfRule>
  </conditionalFormatting>
  <conditionalFormatting sqref="E7:F7">
    <cfRule type="expression" dxfId="12" priority="1">
      <formula>LEN(TRIM(E7:F7))=0</formula>
    </cfRule>
  </conditionalFormatting>
  <dataValidations count="2">
    <dataValidation type="list" allowBlank="1" showInputMessage="1" showErrorMessage="1" sqref="F7:F56">
      <formula1>INDIRECT(E7)</formula1>
    </dataValidation>
    <dataValidation type="list" allowBlank="1" showInputMessage="1" showErrorMessage="1" sqref="E7:E56">
      <formula1>groupe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Membres!$A$6:$A$41</xm:f>
          </x14:formula1>
          <xm:sqref>B2</xm:sqref>
        </x14:dataValidation>
        <x14:dataValidation type="list" allowBlank="1" showInputMessage="1" showErrorMessage="1">
          <x14:formula1>
            <xm:f>Bilan!$F$6:$F$19</xm:f>
          </x14:formula1>
          <xm:sqref>C7:C14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6"/>
  <dimension ref="A1:N58"/>
  <sheetViews>
    <sheetView workbookViewId="0">
      <selection activeCell="G32" sqref="G32"/>
    </sheetView>
  </sheetViews>
  <sheetFormatPr baseColWidth="10" defaultRowHeight="15" x14ac:dyDescent="0.25"/>
  <cols>
    <col min="1" max="1" width="22.85546875" style="223" customWidth="1"/>
    <col min="2" max="2" width="16.85546875" style="223" bestFit="1" customWidth="1"/>
    <col min="3" max="3" width="19.140625" style="223" customWidth="1"/>
    <col min="4" max="4" width="7.7109375" style="223" bestFit="1" customWidth="1"/>
    <col min="5" max="5" width="23" style="223" customWidth="1"/>
    <col min="6" max="6" width="23.5703125" style="223" customWidth="1"/>
    <col min="7" max="7" width="22.42578125" style="223" bestFit="1" customWidth="1"/>
    <col min="8" max="8" width="17.85546875" style="223" customWidth="1"/>
    <col min="9" max="9" width="2.85546875" style="223" customWidth="1"/>
    <col min="10" max="10" width="24.42578125" style="223" bestFit="1" customWidth="1"/>
    <col min="11" max="11" width="11.42578125" style="223"/>
  </cols>
  <sheetData>
    <row r="1" spans="1:14" x14ac:dyDescent="0.25">
      <c r="A1" s="161" t="s">
        <v>274</v>
      </c>
      <c r="B1" s="55" t="s">
        <v>538</v>
      </c>
      <c r="I1" s="68">
        <v>1</v>
      </c>
      <c r="J1" s="58" t="s">
        <v>251</v>
      </c>
      <c r="K1" s="55" t="str">
        <f>VLOOKUP(B2,Membres!A6:R200,3,FALSE)</f>
        <v>Jérémy</v>
      </c>
    </row>
    <row r="2" spans="1:14" x14ac:dyDescent="0.25">
      <c r="A2" s="161" t="s">
        <v>244</v>
      </c>
      <c r="B2" s="210" t="s">
        <v>502</v>
      </c>
      <c r="I2" s="68">
        <f t="shared" ref="I2:I31" si="0">I1+1</f>
        <v>2</v>
      </c>
      <c r="J2" s="58" t="s">
        <v>248</v>
      </c>
      <c r="K2" s="55" t="str">
        <f>VLOOKUP(B2,Membres!A6:R200,2,FALSE)</f>
        <v>Marsolais</v>
      </c>
    </row>
    <row r="3" spans="1:14" x14ac:dyDescent="0.25">
      <c r="A3" s="161" t="s">
        <v>13</v>
      </c>
      <c r="B3" s="210" t="s">
        <v>539</v>
      </c>
      <c r="I3" s="68">
        <f t="shared" si="0"/>
        <v>3</v>
      </c>
      <c r="J3" s="58" t="s">
        <v>252</v>
      </c>
      <c r="K3" s="55" t="s">
        <v>484</v>
      </c>
    </row>
    <row r="4" spans="1:14" x14ac:dyDescent="0.25">
      <c r="A4" s="161" t="s">
        <v>257</v>
      </c>
      <c r="B4" s="52">
        <v>0</v>
      </c>
      <c r="I4" s="68">
        <f t="shared" si="0"/>
        <v>4</v>
      </c>
      <c r="J4" s="58" t="s">
        <v>253</v>
      </c>
      <c r="K4" s="55" t="str">
        <f>VLOOKUP(B2,Membres!A6:R200,4,FALSE)</f>
        <v>MARJ12029407</v>
      </c>
    </row>
    <row r="5" spans="1:14" x14ac:dyDescent="0.25">
      <c r="I5" s="68">
        <f t="shared" si="0"/>
        <v>5</v>
      </c>
      <c r="J5" s="58" t="s">
        <v>16</v>
      </c>
      <c r="K5" s="57">
        <v>42649</v>
      </c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I6" s="68">
        <f t="shared" si="0"/>
        <v>6</v>
      </c>
      <c r="J6" s="58" t="s">
        <v>277</v>
      </c>
      <c r="K6" s="55" t="str">
        <f>VLOOKUP(B2,Membres!A6:R200,6,FALSE)</f>
        <v>450-750-8178</v>
      </c>
    </row>
    <row r="7" spans="1:14" x14ac:dyDescent="0.25">
      <c r="A7" s="209" t="s">
        <v>540</v>
      </c>
      <c r="B7" s="164">
        <v>29.2</v>
      </c>
      <c r="C7" s="210" t="s">
        <v>7</v>
      </c>
      <c r="D7" s="60">
        <f>IF(ISBLANK(C7),"",VLOOKUP(C7,Bilan!$F$6:$G$25,2,FALSE))</f>
        <v>54201</v>
      </c>
      <c r="E7" s="65"/>
      <c r="F7" s="65"/>
      <c r="I7" s="68">
        <f t="shared" si="0"/>
        <v>7</v>
      </c>
      <c r="J7" s="58" t="s">
        <v>254</v>
      </c>
      <c r="K7" s="55" t="s">
        <v>155</v>
      </c>
      <c r="M7" s="203">
        <f>1</f>
        <v>1</v>
      </c>
      <c r="N7" s="203">
        <v>53111</v>
      </c>
    </row>
    <row r="8" spans="1:14" x14ac:dyDescent="0.25">
      <c r="A8" s="209" t="s">
        <v>541</v>
      </c>
      <c r="B8" s="164">
        <v>40</v>
      </c>
      <c r="C8" s="210" t="s">
        <v>4</v>
      </c>
      <c r="D8" s="60">
        <f>IF(ISBLANK(C8),"",VLOOKUP(C8,Bilan!$F$6:$G$25,2,FALSE))</f>
        <v>53111</v>
      </c>
      <c r="E8" s="65"/>
      <c r="F8" s="65"/>
      <c r="I8" s="68">
        <f t="shared" si="0"/>
        <v>8</v>
      </c>
      <c r="J8" s="58" t="s">
        <v>255</v>
      </c>
      <c r="K8" s="55" t="s">
        <v>485</v>
      </c>
      <c r="M8" s="203">
        <f>IF(N8=N7,M7,M7+1)</f>
        <v>2</v>
      </c>
      <c r="N8" s="203">
        <v>54201</v>
      </c>
    </row>
    <row r="9" spans="1:14" x14ac:dyDescent="0.25">
      <c r="A9" s="210" t="s">
        <v>542</v>
      </c>
      <c r="B9" s="52">
        <v>19.920000000000002</v>
      </c>
      <c r="C9" s="210" t="s">
        <v>10</v>
      </c>
      <c r="D9" s="60">
        <f>IF(ISBLANK(C9),"",VLOOKUP(C9,Bilan!$F$6:$G$25,2,FALSE))</f>
        <v>57253</v>
      </c>
      <c r="E9" s="65"/>
      <c r="F9" s="65"/>
      <c r="I9" s="68">
        <f t="shared" si="0"/>
        <v>9</v>
      </c>
      <c r="J9" s="58" t="s">
        <v>256</v>
      </c>
      <c r="K9" s="193">
        <f>K18-B4</f>
        <v>1464.6</v>
      </c>
      <c r="M9" s="203">
        <f t="shared" ref="M9:M18" si="1">IF(N9=N8,M8,M8+1)</f>
        <v>2</v>
      </c>
      <c r="N9" s="203">
        <v>54201</v>
      </c>
    </row>
    <row r="10" spans="1:14" x14ac:dyDescent="0.25">
      <c r="A10" s="210" t="s">
        <v>543</v>
      </c>
      <c r="B10" s="52">
        <v>8.83</v>
      </c>
      <c r="C10" s="210" t="s">
        <v>10</v>
      </c>
      <c r="D10" s="60">
        <f>IF(ISBLANK(C10),"",VLOOKUP(C10,Bilan!$F$6:$G$25,2,FALSE))</f>
        <v>57253</v>
      </c>
      <c r="E10" s="65"/>
      <c r="F10" s="65"/>
      <c r="I10" s="68">
        <f t="shared" si="0"/>
        <v>10</v>
      </c>
      <c r="J10" s="58" t="s">
        <v>258</v>
      </c>
      <c r="K10" s="55" t="str">
        <f>B2</f>
        <v>Jérémy Marsolais</v>
      </c>
      <c r="M10" s="203">
        <f t="shared" si="1"/>
        <v>3</v>
      </c>
      <c r="N10" s="203">
        <v>57253</v>
      </c>
    </row>
    <row r="11" spans="1:14" x14ac:dyDescent="0.25">
      <c r="A11" s="210" t="s">
        <v>544</v>
      </c>
      <c r="B11" s="52">
        <v>3.66</v>
      </c>
      <c r="C11" s="210" t="s">
        <v>10</v>
      </c>
      <c r="D11" s="60">
        <f>IF(ISBLANK(C11),"",VLOOKUP(C11,Bilan!$F$6:$G$25,2,FALSE))</f>
        <v>57253</v>
      </c>
      <c r="E11" s="65"/>
      <c r="F11" s="65"/>
      <c r="I11" s="68">
        <f t="shared" si="0"/>
        <v>11</v>
      </c>
      <c r="J11" s="58" t="s">
        <v>259</v>
      </c>
      <c r="K11" s="55"/>
      <c r="M11" s="203">
        <f t="shared" si="1"/>
        <v>3</v>
      </c>
      <c r="N11" s="203">
        <v>57253</v>
      </c>
    </row>
    <row r="12" spans="1:14" x14ac:dyDescent="0.25">
      <c r="A12" s="210" t="s">
        <v>544</v>
      </c>
      <c r="B12" s="52">
        <v>8.83</v>
      </c>
      <c r="C12" s="210" t="s">
        <v>10</v>
      </c>
      <c r="D12" s="60">
        <f>IF(ISBLANK(C12),"",VLOOKUP(C12,Bilan!$F$6:$G$25,2,FALSE))</f>
        <v>57253</v>
      </c>
      <c r="E12" s="65"/>
      <c r="F12" s="65"/>
      <c r="I12" s="68">
        <f t="shared" si="0"/>
        <v>12</v>
      </c>
      <c r="J12" s="58" t="s">
        <v>260</v>
      </c>
      <c r="K12" s="55"/>
      <c r="M12" s="203">
        <f t="shared" si="1"/>
        <v>3</v>
      </c>
      <c r="N12" s="203">
        <v>57253</v>
      </c>
    </row>
    <row r="13" spans="1:14" x14ac:dyDescent="0.25">
      <c r="A13" s="210" t="s">
        <v>545</v>
      </c>
      <c r="B13" s="52">
        <v>29.94</v>
      </c>
      <c r="C13" s="210" t="s">
        <v>7</v>
      </c>
      <c r="D13" s="55">
        <f>IF(ISBLANK(C13),"",VLOOKUP(C13,Bilan!$F$6:$G$25,2,FALSE))</f>
        <v>54201</v>
      </c>
      <c r="E13" s="65"/>
      <c r="F13" s="65"/>
      <c r="I13" s="68">
        <f t="shared" si="0"/>
        <v>13</v>
      </c>
      <c r="J13" s="58" t="s">
        <v>249</v>
      </c>
      <c r="K13" s="55" t="str">
        <f>VLOOKUP(B2,Membres!A6:R200,8,FALSE)</f>
        <v>47 cote st louis</v>
      </c>
      <c r="M13" s="203">
        <f t="shared" si="1"/>
        <v>3</v>
      </c>
      <c r="N13" s="203">
        <v>57253</v>
      </c>
    </row>
    <row r="14" spans="1:14" ht="15.75" thickBot="1" x14ac:dyDescent="0.3">
      <c r="A14" s="211" t="s">
        <v>546</v>
      </c>
      <c r="B14" s="190">
        <v>28.72</v>
      </c>
      <c r="C14" s="211" t="s">
        <v>10</v>
      </c>
      <c r="D14" s="191">
        <f>IF(ISBLANK(C14),"",VLOOKUP(C14,Bilan!$F$6:$G$25,2,FALSE))</f>
        <v>57253</v>
      </c>
      <c r="E14" s="192"/>
      <c r="F14" s="192"/>
      <c r="I14" s="68">
        <f t="shared" si="0"/>
        <v>14</v>
      </c>
      <c r="J14" s="58" t="s">
        <v>17</v>
      </c>
      <c r="K14" s="55" t="str">
        <f>VLOOKUP(B2,Membres!A6:R200,11,FALSE)</f>
        <v>Qc</v>
      </c>
      <c r="M14" s="203">
        <f t="shared" si="1"/>
        <v>3</v>
      </c>
      <c r="N14" s="203">
        <v>57253</v>
      </c>
    </row>
    <row r="15" spans="1:14" ht="15.75" thickTop="1" x14ac:dyDescent="0.25">
      <c r="A15" s="212" t="s">
        <v>547</v>
      </c>
      <c r="B15" s="53">
        <v>468.03</v>
      </c>
      <c r="C15" s="212" t="s">
        <v>10</v>
      </c>
      <c r="D15" s="56">
        <f>IF(ISBLANK(C15),"",VLOOKUP(C15,Bilan!$F$6:$G$25,2,FALSE))</f>
        <v>57253</v>
      </c>
      <c r="E15" s="66"/>
      <c r="F15" s="66"/>
      <c r="I15" s="68">
        <f t="shared" si="0"/>
        <v>15</v>
      </c>
      <c r="J15" s="58" t="s">
        <v>261</v>
      </c>
      <c r="K15" s="55" t="str">
        <f>VLOOKUP(B2,Membres!A6:R200,10,FALSE)</f>
        <v>J0K 2L0</v>
      </c>
      <c r="M15" s="203">
        <f t="shared" si="1"/>
        <v>3</v>
      </c>
      <c r="N15" s="203">
        <v>57253</v>
      </c>
    </row>
    <row r="16" spans="1:14" x14ac:dyDescent="0.25">
      <c r="A16" s="210" t="s">
        <v>548</v>
      </c>
      <c r="B16" s="52">
        <v>45.99</v>
      </c>
      <c r="C16" s="210" t="s">
        <v>10</v>
      </c>
      <c r="D16" s="55">
        <f>IF(ISBLANK(C16),"",VLOOKUP(C16,Bilan!$F$6:$G$25,2,FALSE))</f>
        <v>57253</v>
      </c>
      <c r="E16" s="65"/>
      <c r="F16" s="65"/>
      <c r="I16" s="68">
        <f t="shared" si="0"/>
        <v>16</v>
      </c>
      <c r="J16" s="58" t="s">
        <v>250</v>
      </c>
      <c r="K16" s="55" t="str">
        <f>VLOOKUP(B2,Membres!A6:R200,9,FALSE)</f>
        <v>St-Esprit (Lanaudière)</v>
      </c>
      <c r="M16" s="203">
        <f t="shared" si="1"/>
        <v>3</v>
      </c>
      <c r="N16" s="203">
        <v>57253</v>
      </c>
    </row>
    <row r="17" spans="1:14" x14ac:dyDescent="0.25">
      <c r="A17" s="210" t="s">
        <v>549</v>
      </c>
      <c r="B17" s="52">
        <v>781.48</v>
      </c>
      <c r="C17" s="210" t="s">
        <v>10</v>
      </c>
      <c r="D17" s="55">
        <f>IF(ISBLANK(C17),"",VLOOKUP(C17,Bilan!$F$6:$G$25,2,FALSE))</f>
        <v>57253</v>
      </c>
      <c r="E17" s="65"/>
      <c r="F17" s="65"/>
      <c r="I17" s="68">
        <f t="shared" si="0"/>
        <v>17</v>
      </c>
      <c r="J17" s="58" t="s">
        <v>14</v>
      </c>
      <c r="K17" s="55" t="str">
        <f>VLOOKUP(B2,Membres!A6:R200,7,FALSE)</f>
        <v>marsolais32@gmail.com</v>
      </c>
      <c r="M17" s="203">
        <f t="shared" si="1"/>
        <v>3</v>
      </c>
      <c r="N17" s="203">
        <v>57253</v>
      </c>
    </row>
    <row r="18" spans="1:14" x14ac:dyDescent="0.25">
      <c r="A18" s="210"/>
      <c r="B18" s="52"/>
      <c r="C18" s="210"/>
      <c r="D18" s="55" t="str">
        <f>IF(ISBLANK(C18),"",VLOOKUP(C18,Bilan!$F$6:$G$25,2,FALSE))</f>
        <v/>
      </c>
      <c r="E18" s="65"/>
      <c r="F18" s="65"/>
      <c r="G18" s="49"/>
      <c r="H18" s="49"/>
      <c r="I18" s="68">
        <f t="shared" si="0"/>
        <v>18</v>
      </c>
      <c r="J18" s="58" t="s">
        <v>262</v>
      </c>
      <c r="K18" s="59">
        <f>SUM(B7:B100)</f>
        <v>1464.6</v>
      </c>
      <c r="M18" s="203">
        <f t="shared" si="1"/>
        <v>4</v>
      </c>
      <c r="N18" s="203"/>
    </row>
    <row r="19" spans="1:14" x14ac:dyDescent="0.25">
      <c r="A19" s="210"/>
      <c r="B19" s="52"/>
      <c r="C19" s="210"/>
      <c r="D19" s="55" t="str">
        <f>IF(ISBLANK(C19),"",VLOOKUP(C19,Bilan!$F$6:$G$25,2,FALSE))</f>
        <v/>
      </c>
      <c r="E19" s="65"/>
      <c r="F19" s="65"/>
      <c r="I19" s="68">
        <f t="shared" si="0"/>
        <v>19</v>
      </c>
      <c r="J19" s="58" t="s">
        <v>263</v>
      </c>
      <c r="K19" s="59">
        <f>SUMIFS(B7:B58,D7:D58,K24)</f>
        <v>40</v>
      </c>
      <c r="M19" s="203"/>
      <c r="N19" s="203"/>
    </row>
    <row r="20" spans="1:14" x14ac:dyDescent="0.25">
      <c r="A20" s="210"/>
      <c r="B20" s="52"/>
      <c r="C20" s="210"/>
      <c r="D20" s="55" t="str">
        <f>IF(ISBLANK(C20),"",VLOOKUP(C20,Bilan!$F$6:$G$25,2,FALSE))</f>
        <v/>
      </c>
      <c r="E20" s="65"/>
      <c r="F20" s="65"/>
      <c r="I20" s="68">
        <f t="shared" si="0"/>
        <v>20</v>
      </c>
      <c r="J20" s="58" t="s">
        <v>264</v>
      </c>
      <c r="K20" s="59">
        <f>SUMIFS(B7:B58,D7:D58,K25)</f>
        <v>59.14</v>
      </c>
      <c r="M20" s="203"/>
      <c r="N20" s="203"/>
    </row>
    <row r="21" spans="1:14" x14ac:dyDescent="0.25">
      <c r="A21" s="210"/>
      <c r="B21" s="52"/>
      <c r="C21" s="210"/>
      <c r="D21" s="55" t="str">
        <f>IF(ISBLANK(C21),"",VLOOKUP(C21,Bilan!$F$6:$G$25,2,FALSE))</f>
        <v/>
      </c>
      <c r="E21" s="65"/>
      <c r="F21" s="65"/>
      <c r="I21" s="68">
        <f t="shared" si="0"/>
        <v>21</v>
      </c>
      <c r="J21" s="58" t="s">
        <v>265</v>
      </c>
      <c r="K21" s="59">
        <f>SUMIFS(B7:B58,D7:D58,K26)</f>
        <v>1365.46</v>
      </c>
      <c r="M21" s="203"/>
      <c r="N21" s="203"/>
    </row>
    <row r="22" spans="1:14" x14ac:dyDescent="0.25">
      <c r="A22" s="210"/>
      <c r="B22" s="52"/>
      <c r="C22" s="210"/>
      <c r="D22" s="55" t="str">
        <f>IF(ISBLANK(C22),"",VLOOKUP(C22,Bilan!$F$6:$G$25,2,FALSE))</f>
        <v/>
      </c>
      <c r="E22" s="65"/>
      <c r="F22" s="65"/>
      <c r="I22" s="68">
        <f t="shared" si="0"/>
        <v>22</v>
      </c>
      <c r="J22" s="58" t="s">
        <v>266</v>
      </c>
      <c r="K22" s="59">
        <f>SUMIFS(B7:B58,D7:D58,K27)</f>
        <v>0</v>
      </c>
      <c r="M22" s="203"/>
      <c r="N22" s="203"/>
    </row>
    <row r="23" spans="1:14" x14ac:dyDescent="0.25">
      <c r="A23" s="210"/>
      <c r="B23" s="52"/>
      <c r="C23" s="210"/>
      <c r="D23" s="55" t="str">
        <f>IF(ISBLANK(C23),"",VLOOKUP(C23,Bilan!$F$6:$G$25,2,FALSE))</f>
        <v/>
      </c>
      <c r="E23" s="65"/>
      <c r="F23" s="65"/>
      <c r="I23" s="68">
        <f t="shared" si="0"/>
        <v>23</v>
      </c>
      <c r="J23" s="58" t="s">
        <v>267</v>
      </c>
      <c r="K23" s="59">
        <f>SUMIFS(B7:B58,D7:D58,K28)</f>
        <v>0</v>
      </c>
      <c r="M23" s="203"/>
      <c r="N23" s="203"/>
    </row>
    <row r="24" spans="1:14" x14ac:dyDescent="0.25">
      <c r="A24" s="210"/>
      <c r="B24" s="52"/>
      <c r="C24" s="210"/>
      <c r="D24" s="55" t="str">
        <f>IF(ISBLANK(C24),"",VLOOKUP(C24,Bilan!$F$6:$G$25,2,FALSE))</f>
        <v/>
      </c>
      <c r="E24" s="65"/>
      <c r="F24" s="65"/>
      <c r="I24" s="68">
        <f t="shared" si="0"/>
        <v>24</v>
      </c>
      <c r="J24" s="58" t="s">
        <v>268</v>
      </c>
      <c r="K24" s="55">
        <f>IF(ISERROR(VLOOKUP(1,M7:N58,2,FALSE))," ",VLOOKUP(1,M7:N58,2,FALSE))</f>
        <v>53111</v>
      </c>
      <c r="M24" s="203"/>
      <c r="N24" s="203"/>
    </row>
    <row r="25" spans="1:14" x14ac:dyDescent="0.25">
      <c r="A25" s="210"/>
      <c r="B25" s="52"/>
      <c r="C25" s="210"/>
      <c r="D25" s="55" t="str">
        <f>IF(ISBLANK(C25),"",VLOOKUP(C25,Bilan!$F$6:$G$25,2,FALSE))</f>
        <v/>
      </c>
      <c r="E25" s="65"/>
      <c r="F25" s="65"/>
      <c r="I25" s="68">
        <f t="shared" si="0"/>
        <v>25</v>
      </c>
      <c r="J25" s="58" t="s">
        <v>269</v>
      </c>
      <c r="K25" s="55">
        <f>IF(ISERROR(VLOOKUP(2,M7:N58,2,FALSE))," ",VLOOKUP(2,M7:N58,2,FALSE))</f>
        <v>54201</v>
      </c>
      <c r="M25" s="203"/>
      <c r="N25" s="203"/>
    </row>
    <row r="26" spans="1:14" x14ac:dyDescent="0.25">
      <c r="A26" s="210"/>
      <c r="B26" s="52"/>
      <c r="C26" s="210"/>
      <c r="D26" s="55" t="str">
        <f>IF(ISBLANK(C26),"",VLOOKUP(C26,Bilan!$F$6:$G$25,2,FALSE))</f>
        <v/>
      </c>
      <c r="E26" s="65"/>
      <c r="F26" s="65"/>
      <c r="I26" s="68">
        <f t="shared" si="0"/>
        <v>26</v>
      </c>
      <c r="J26" s="58" t="s">
        <v>270</v>
      </c>
      <c r="K26" s="55">
        <f>IF(ISERROR(VLOOKUP(3,M7:N58,2,FALSE))," ",VLOOKUP(3,M7:N58,2,FALSE))</f>
        <v>57253</v>
      </c>
      <c r="M26" s="203"/>
      <c r="N26" s="203"/>
    </row>
    <row r="27" spans="1:14" x14ac:dyDescent="0.25">
      <c r="A27" s="210"/>
      <c r="B27" s="52"/>
      <c r="C27" s="210"/>
      <c r="D27" s="55" t="str">
        <f>IF(ISBLANK(C27),"",VLOOKUP(C27,Bilan!$F$6:$G$25,2,FALSE))</f>
        <v/>
      </c>
      <c r="E27" s="65"/>
      <c r="F27" s="65"/>
      <c r="I27" s="68">
        <f t="shared" si="0"/>
        <v>27</v>
      </c>
      <c r="J27" s="58" t="s">
        <v>271</v>
      </c>
      <c r="K27" s="55">
        <f>IF(ISERROR(VLOOKUP(4,M7:N58,2,FALSE))," ",VLOOKUP(4,M7:N58,2,FALSE))</f>
        <v>0</v>
      </c>
      <c r="M27" s="203"/>
      <c r="N27" s="203"/>
    </row>
    <row r="28" spans="1:14" x14ac:dyDescent="0.25">
      <c r="A28" s="210"/>
      <c r="B28" s="52"/>
      <c r="C28" s="210"/>
      <c r="D28" s="55" t="str">
        <f>IF(ISBLANK(C28),"",VLOOKUP(C28,Bilan!$F$6:$G$25,2,FALSE))</f>
        <v/>
      </c>
      <c r="E28" s="65"/>
      <c r="F28" s="65"/>
      <c r="I28" s="68">
        <f t="shared" si="0"/>
        <v>28</v>
      </c>
      <c r="J28" s="58" t="s">
        <v>272</v>
      </c>
      <c r="K28" s="55" t="str">
        <f>IF(ISERROR(VLOOKUP(5,M7:N58,2,FALSE))," ",VLOOKUP(5,M7:N58,2,FALSE))</f>
        <v xml:space="preserve"> </v>
      </c>
      <c r="M28" s="203"/>
      <c r="N28" s="203"/>
    </row>
    <row r="29" spans="1:14" x14ac:dyDescent="0.25">
      <c r="A29" s="210"/>
      <c r="B29" s="52"/>
      <c r="C29" s="210"/>
      <c r="D29" s="55" t="str">
        <f>IF(ISBLANK(C29),"",VLOOKUP(C29,Bilan!$F$6:$G$25,2,FALSE))</f>
        <v/>
      </c>
      <c r="E29" s="65"/>
      <c r="F29" s="65"/>
      <c r="I29" s="68">
        <f t="shared" si="0"/>
        <v>29</v>
      </c>
      <c r="J29" s="58" t="s">
        <v>19</v>
      </c>
      <c r="K29" s="55">
        <v>300050</v>
      </c>
      <c r="M29" s="203"/>
      <c r="N29" s="203"/>
    </row>
    <row r="30" spans="1:14" x14ac:dyDescent="0.25">
      <c r="A30" s="210"/>
      <c r="B30" s="52"/>
      <c r="C30" s="210"/>
      <c r="D30" s="55" t="str">
        <f>IF(ISBLANK(C30),"",VLOOKUP(C30,Bilan!$F$6:$G$25,2,FALSE))</f>
        <v/>
      </c>
      <c r="E30" s="65"/>
      <c r="F30" s="65"/>
      <c r="I30" s="68">
        <f t="shared" si="0"/>
        <v>30</v>
      </c>
      <c r="J30" s="58" t="s">
        <v>275</v>
      </c>
      <c r="K30" s="55" t="s">
        <v>483</v>
      </c>
      <c r="M30" s="203"/>
      <c r="N30" s="203"/>
    </row>
    <row r="31" spans="1:14" x14ac:dyDescent="0.25">
      <c r="A31" s="210"/>
      <c r="B31" s="48"/>
      <c r="C31" s="210"/>
      <c r="D31" s="58" t="str">
        <f>IF(ISBLANK(C31),"",VLOOKUP(C31,Bilan!$F$6:$G$25,2,FALSE))</f>
        <v/>
      </c>
      <c r="E31" s="65"/>
      <c r="F31" s="65"/>
      <c r="I31" s="68">
        <f t="shared" si="0"/>
        <v>31</v>
      </c>
      <c r="J31" s="58" t="s">
        <v>276</v>
      </c>
      <c r="K31" s="55">
        <f>IF(ISBLANK(A15),0,1)</f>
        <v>1</v>
      </c>
      <c r="M31" s="203"/>
      <c r="N31" s="203"/>
    </row>
    <row r="32" spans="1:14" x14ac:dyDescent="0.25">
      <c r="A32" s="210"/>
      <c r="B32" s="48"/>
      <c r="C32" s="210"/>
      <c r="D32" s="58" t="str">
        <f>IF(ISBLANK(C32),"",VLOOKUP(C32,Bilan!$F$6:$G$25,2,FALSE))</f>
        <v/>
      </c>
      <c r="E32" s="65"/>
      <c r="F32" s="65"/>
      <c r="M32" s="203"/>
      <c r="N32" s="203"/>
    </row>
    <row r="33" spans="1:14" x14ac:dyDescent="0.25">
      <c r="A33" s="210"/>
      <c r="B33" s="48"/>
      <c r="C33" s="210"/>
      <c r="D33" s="58" t="str">
        <f>IF(ISBLANK(C33),"",VLOOKUP(C33,Bilan!$F$6:$G$25,2,FALSE))</f>
        <v/>
      </c>
      <c r="E33" s="65"/>
      <c r="F33" s="65"/>
      <c r="M33" s="203"/>
      <c r="N33" s="203"/>
    </row>
    <row r="34" spans="1:14" x14ac:dyDescent="0.25">
      <c r="A34" s="210"/>
      <c r="B34" s="48"/>
      <c r="C34" s="210"/>
      <c r="D34" s="58" t="str">
        <f>IF(ISBLANK(C34),"",VLOOKUP(C34,Bilan!$F$6:$G$25,2,FALSE))</f>
        <v/>
      </c>
      <c r="E34" s="65"/>
      <c r="F34" s="65"/>
      <c r="M34" s="203"/>
      <c r="N34" s="203"/>
    </row>
    <row r="35" spans="1:14" x14ac:dyDescent="0.25">
      <c r="A35" s="210"/>
      <c r="B35" s="48"/>
      <c r="C35" s="210"/>
      <c r="D35" s="58" t="str">
        <f>IF(ISBLANK(C35),"",VLOOKUP(C35,Bilan!$F$6:$G$25,2,FALSE))</f>
        <v/>
      </c>
      <c r="E35" s="65"/>
      <c r="F35" s="65"/>
      <c r="M35" s="203"/>
      <c r="N35" s="203"/>
    </row>
    <row r="36" spans="1:14" x14ac:dyDescent="0.25">
      <c r="A36" s="210"/>
      <c r="B36" s="48"/>
      <c r="C36" s="210"/>
      <c r="D36" s="58" t="str">
        <f>IF(ISBLANK(C36),"",VLOOKUP(C36,Bilan!$F$6:$G$25,2,FALSE))</f>
        <v/>
      </c>
      <c r="E36" s="65"/>
      <c r="F36" s="65"/>
      <c r="M36" s="203"/>
      <c r="N36" s="203"/>
    </row>
    <row r="37" spans="1:14" x14ac:dyDescent="0.25">
      <c r="A37" s="210"/>
      <c r="B37" s="48"/>
      <c r="C37" s="210"/>
      <c r="D37" s="58" t="str">
        <f>IF(ISBLANK(C37),"",VLOOKUP(C37,Bilan!$F$6:$G$25,2,FALSE))</f>
        <v/>
      </c>
      <c r="E37" s="65"/>
      <c r="F37" s="65"/>
      <c r="M37" s="203"/>
      <c r="N37" s="203"/>
    </row>
    <row r="38" spans="1:14" x14ac:dyDescent="0.25">
      <c r="A38" s="210"/>
      <c r="B38" s="48"/>
      <c r="C38" s="210"/>
      <c r="D38" s="58" t="str">
        <f>IF(ISBLANK(C38),"",VLOOKUP(C38,Bilan!$F$6:$G$25,2,FALSE))</f>
        <v/>
      </c>
      <c r="E38" s="65"/>
      <c r="F38" s="65"/>
      <c r="M38" s="203"/>
      <c r="N38" s="203"/>
    </row>
    <row r="39" spans="1:14" x14ac:dyDescent="0.25">
      <c r="A39" s="210"/>
      <c r="B39" s="48"/>
      <c r="C39" s="210"/>
      <c r="D39" s="58" t="str">
        <f>IF(ISBLANK(C39),"",VLOOKUP(C39,Bilan!$F$6:$G$25,2,FALSE))</f>
        <v/>
      </c>
      <c r="E39" s="65"/>
      <c r="F39" s="65"/>
      <c r="M39" s="203"/>
      <c r="N39" s="203"/>
    </row>
    <row r="40" spans="1:14" x14ac:dyDescent="0.25">
      <c r="A40" s="210"/>
      <c r="B40" s="48"/>
      <c r="C40" s="210"/>
      <c r="D40" s="58" t="str">
        <f>IF(ISBLANK(C40),"",VLOOKUP(C40,Bilan!$F$6:$G$25,2,FALSE))</f>
        <v/>
      </c>
      <c r="E40" s="65"/>
      <c r="F40" s="65"/>
      <c r="M40" s="203"/>
      <c r="N40" s="203"/>
    </row>
    <row r="41" spans="1:14" x14ac:dyDescent="0.25">
      <c r="A41" s="210"/>
      <c r="B41" s="48"/>
      <c r="C41" s="210"/>
      <c r="D41" s="58" t="str">
        <f>IF(ISBLANK(C41),"",VLOOKUP(C41,Bilan!$F$6:$G$25,2,FALSE))</f>
        <v/>
      </c>
      <c r="E41" s="65"/>
      <c r="F41" s="65"/>
      <c r="M41" s="203"/>
      <c r="N41" s="203"/>
    </row>
    <row r="42" spans="1:14" x14ac:dyDescent="0.25">
      <c r="A42" s="210"/>
      <c r="B42" s="48"/>
      <c r="C42" s="210"/>
      <c r="D42" s="58" t="str">
        <f>IF(ISBLANK(C42),"",VLOOKUP(C42,Bilan!$F$6:$G$25,2,FALSE))</f>
        <v/>
      </c>
      <c r="E42" s="65"/>
      <c r="F42" s="65"/>
      <c r="M42" s="203"/>
      <c r="N42" s="203"/>
    </row>
    <row r="43" spans="1:14" x14ac:dyDescent="0.25">
      <c r="A43" s="210"/>
      <c r="B43" s="48"/>
      <c r="C43" s="210"/>
      <c r="D43" s="58" t="str">
        <f>IF(ISBLANK(C43),"",VLOOKUP(C43,Bilan!$F$6:$G$25,2,FALSE))</f>
        <v/>
      </c>
      <c r="E43" s="65"/>
      <c r="F43" s="65"/>
      <c r="M43" s="203"/>
      <c r="N43" s="203"/>
    </row>
    <row r="44" spans="1:14" x14ac:dyDescent="0.25">
      <c r="A44" s="210"/>
      <c r="B44" s="48"/>
      <c r="C44" s="210"/>
      <c r="D44" s="58" t="str">
        <f>IF(ISBLANK(C44),"",VLOOKUP(C44,Bilan!$F$6:$G$25,2,FALSE))</f>
        <v/>
      </c>
      <c r="E44" s="65"/>
      <c r="F44" s="65"/>
      <c r="M44" s="203"/>
      <c r="N44" s="203"/>
    </row>
    <row r="45" spans="1:14" x14ac:dyDescent="0.25">
      <c r="A45" s="210"/>
      <c r="B45" s="48"/>
      <c r="C45" s="210"/>
      <c r="D45" s="58" t="str">
        <f>IF(ISBLANK(C45),"",VLOOKUP(C45,Bilan!$F$6:$G$25,2,FALSE))</f>
        <v/>
      </c>
      <c r="E45" s="65"/>
      <c r="F45" s="65"/>
      <c r="M45" s="203"/>
      <c r="N45" s="203"/>
    </row>
    <row r="46" spans="1:14" x14ac:dyDescent="0.25">
      <c r="A46" s="210"/>
      <c r="B46" s="48"/>
      <c r="C46" s="210"/>
      <c r="D46" s="58" t="str">
        <f>IF(ISBLANK(C46),"",VLOOKUP(C46,Bilan!$F$6:$G$25,2,FALSE))</f>
        <v/>
      </c>
      <c r="E46" s="65"/>
      <c r="F46" s="65"/>
      <c r="M46" s="203"/>
      <c r="N46" s="203"/>
    </row>
    <row r="47" spans="1:14" x14ac:dyDescent="0.25">
      <c r="A47" s="210"/>
      <c r="B47" s="48"/>
      <c r="C47" s="210"/>
      <c r="D47" s="58" t="str">
        <f>IF(ISBLANK(C47),"",VLOOKUP(C47,Bilan!$F$6:$G$25,2,FALSE))</f>
        <v/>
      </c>
      <c r="E47" s="65"/>
      <c r="F47" s="65"/>
      <c r="M47" s="203"/>
      <c r="N47" s="203"/>
    </row>
    <row r="48" spans="1:14" x14ac:dyDescent="0.25">
      <c r="A48" s="210"/>
      <c r="B48" s="48"/>
      <c r="C48" s="210"/>
      <c r="D48" s="58" t="str">
        <f>IF(ISBLANK(C48),"",VLOOKUP(C48,Bilan!$F$6:$G$25,2,FALSE))</f>
        <v/>
      </c>
      <c r="E48" s="65"/>
      <c r="F48" s="65"/>
      <c r="M48" s="203"/>
      <c r="N48" s="203"/>
    </row>
    <row r="49" spans="1:14" x14ac:dyDescent="0.25">
      <c r="A49" s="210"/>
      <c r="B49" s="48"/>
      <c r="C49" s="210"/>
      <c r="D49" s="58" t="str">
        <f>IF(ISBLANK(C49),"",VLOOKUP(C49,Bilan!$F$6:$G$25,2,FALSE))</f>
        <v/>
      </c>
      <c r="E49" s="65"/>
      <c r="F49" s="65"/>
      <c r="M49" s="203"/>
      <c r="N49" s="203"/>
    </row>
    <row r="50" spans="1:14" x14ac:dyDescent="0.25">
      <c r="A50" s="210"/>
      <c r="B50" s="48"/>
      <c r="C50" s="210"/>
      <c r="D50" s="58" t="str">
        <f>IF(ISBLANK(C50),"",VLOOKUP(C50,Bilan!$F$6:$G$25,2,FALSE))</f>
        <v/>
      </c>
      <c r="E50" s="65"/>
      <c r="F50" s="65"/>
      <c r="M50" s="203"/>
      <c r="N50" s="203"/>
    </row>
    <row r="51" spans="1:14" x14ac:dyDescent="0.25">
      <c r="A51" s="210"/>
      <c r="B51" s="48"/>
      <c r="C51" s="210"/>
      <c r="D51" s="58" t="str">
        <f>IF(ISBLANK(C51),"",VLOOKUP(C51,Bilan!$F$6:$G$25,2,FALSE))</f>
        <v/>
      </c>
      <c r="E51" s="65"/>
      <c r="F51" s="65"/>
      <c r="M51" s="203"/>
      <c r="N51" s="203"/>
    </row>
    <row r="52" spans="1:14" x14ac:dyDescent="0.25">
      <c r="A52" s="210"/>
      <c r="B52" s="48"/>
      <c r="C52" s="210"/>
      <c r="D52" s="58" t="str">
        <f>IF(ISBLANK(C52),"",VLOOKUP(C52,Bilan!$F$6:$G$25,2,FALSE))</f>
        <v/>
      </c>
      <c r="E52" s="65"/>
      <c r="F52" s="65"/>
      <c r="M52" s="203"/>
      <c r="N52" s="203"/>
    </row>
    <row r="53" spans="1:14" x14ac:dyDescent="0.25">
      <c r="A53" s="210"/>
      <c r="B53" s="48"/>
      <c r="C53" s="210"/>
      <c r="D53" s="58" t="str">
        <f>IF(ISBLANK(C53),"",VLOOKUP(C53,Bilan!$F$6:$G$25,2,FALSE))</f>
        <v/>
      </c>
      <c r="E53" s="65"/>
      <c r="F53" s="65"/>
      <c r="M53" s="203"/>
      <c r="N53" s="203"/>
    </row>
    <row r="54" spans="1:14" x14ac:dyDescent="0.25">
      <c r="A54" s="210"/>
      <c r="B54" s="48"/>
      <c r="C54" s="210"/>
      <c r="D54" s="58" t="str">
        <f>IF(ISBLANK(C54),"",VLOOKUP(C54,Bilan!$F$6:$G$25,2,FALSE))</f>
        <v/>
      </c>
      <c r="E54" s="65"/>
      <c r="F54" s="65"/>
      <c r="M54" s="203"/>
      <c r="N54" s="203"/>
    </row>
    <row r="55" spans="1:14" x14ac:dyDescent="0.25">
      <c r="A55" s="210"/>
      <c r="B55" s="48"/>
      <c r="C55" s="210"/>
      <c r="D55" s="58" t="str">
        <f>IF(ISBLANK(C55),"",VLOOKUP(C55,Bilan!$F$6:$G$25,2,FALSE))</f>
        <v/>
      </c>
      <c r="E55" s="65"/>
      <c r="F55" s="65"/>
      <c r="M55" s="203"/>
      <c r="N55" s="203"/>
    </row>
    <row r="56" spans="1:14" x14ac:dyDescent="0.25">
      <c r="A56" s="210"/>
      <c r="B56" s="48"/>
      <c r="C56" s="210"/>
      <c r="D56" s="58" t="str">
        <f>IF(ISBLANK(C56),"",VLOOKUP(C56,Bilan!$F$6:$G$25,2,FALSE))</f>
        <v/>
      </c>
      <c r="E56" s="65"/>
      <c r="F56" s="65"/>
      <c r="M56" s="203"/>
      <c r="N56" s="203"/>
    </row>
    <row r="57" spans="1:14" x14ac:dyDescent="0.25">
      <c r="M57" s="203"/>
      <c r="N57" s="203"/>
    </row>
    <row r="58" spans="1:14" x14ac:dyDescent="0.25">
      <c r="M58" s="203"/>
      <c r="N58" s="203"/>
    </row>
  </sheetData>
  <sheetProtection password="C736" sheet="1" objects="1" scenarios="1"/>
  <sortState ref="N7:N17">
    <sortCondition ref="N7"/>
  </sortState>
  <conditionalFormatting sqref="B2:B4">
    <cfRule type="expression" dxfId="11" priority="3">
      <formula>LEN(TRIM(B2:B4))=0</formula>
    </cfRule>
  </conditionalFormatting>
  <conditionalFormatting sqref="A7:C7">
    <cfRule type="expression" dxfId="10" priority="2">
      <formula>LEN(TRIM(A7:C7))=0</formula>
    </cfRule>
  </conditionalFormatting>
  <conditionalFormatting sqref="E7:F7">
    <cfRule type="expression" dxfId="9" priority="1">
      <formula>LEN(TRIM(E7:F7))=0</formula>
    </cfRule>
  </conditionalFormatting>
  <dataValidations count="2">
    <dataValidation type="list" allowBlank="1" showInputMessage="1" showErrorMessage="1" sqref="F7:F56">
      <formula1>INDIRECT(E7)</formula1>
    </dataValidation>
    <dataValidation type="list" allowBlank="1" showInputMessage="1" showErrorMessage="1" sqref="E7:E56">
      <formula1>groupe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Membres!$A$6:$A$41</xm:f>
          </x14:formula1>
          <xm:sqref>B2</xm:sqref>
        </x14:dataValidation>
        <x14:dataValidation type="list" allowBlank="1" showInputMessage="1" showErrorMessage="1">
          <x14:formula1>
            <xm:f>Bilan!$F$6:$F$19</xm:f>
          </x14:formula1>
          <xm:sqref>C7:C14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/>
  <dimension ref="A1:N58"/>
  <sheetViews>
    <sheetView workbookViewId="0">
      <selection activeCell="G34" sqref="G34"/>
    </sheetView>
  </sheetViews>
  <sheetFormatPr baseColWidth="10" defaultRowHeight="15" x14ac:dyDescent="0.25"/>
  <cols>
    <col min="1" max="1" width="22.85546875" style="224" customWidth="1"/>
    <col min="2" max="2" width="16.85546875" style="224" bestFit="1" customWidth="1"/>
    <col min="3" max="3" width="19.140625" style="224" customWidth="1"/>
    <col min="4" max="4" width="7.7109375" style="224" bestFit="1" customWidth="1"/>
    <col min="5" max="5" width="23" style="224" customWidth="1"/>
    <col min="6" max="6" width="23.5703125" style="224" customWidth="1"/>
    <col min="7" max="7" width="22.42578125" style="224" bestFit="1" customWidth="1"/>
    <col min="8" max="8" width="17.85546875" style="224" customWidth="1"/>
    <col min="9" max="9" width="2.85546875" style="224" customWidth="1"/>
    <col min="10" max="10" width="24.42578125" style="224" bestFit="1" customWidth="1"/>
    <col min="11" max="11" width="11.42578125" style="224"/>
  </cols>
  <sheetData>
    <row r="1" spans="1:14" x14ac:dyDescent="0.25">
      <c r="A1" s="161" t="s">
        <v>274</v>
      </c>
      <c r="B1" s="55" t="s">
        <v>550</v>
      </c>
      <c r="I1" s="68">
        <v>1</v>
      </c>
      <c r="J1" s="58" t="s">
        <v>251</v>
      </c>
      <c r="K1" s="55" t="str">
        <f>VLOOKUP(B2,Membres!A6:R200,3,FALSE)</f>
        <v>Pierre</v>
      </c>
    </row>
    <row r="2" spans="1:14" x14ac:dyDescent="0.25">
      <c r="A2" s="161" t="s">
        <v>244</v>
      </c>
      <c r="B2" s="210" t="s">
        <v>551</v>
      </c>
      <c r="I2" s="68">
        <f t="shared" ref="I2:I31" si="0">I1+1</f>
        <v>2</v>
      </c>
      <c r="J2" s="58" t="s">
        <v>248</v>
      </c>
      <c r="K2" s="55" t="str">
        <f>VLOOKUP(B2,Membres!A6:R200,2,FALSE)</f>
        <v>Bonzel</v>
      </c>
    </row>
    <row r="3" spans="1:14" x14ac:dyDescent="0.25">
      <c r="A3" s="161" t="s">
        <v>13</v>
      </c>
      <c r="B3" s="210" t="s">
        <v>552</v>
      </c>
      <c r="I3" s="68">
        <f t="shared" si="0"/>
        <v>3</v>
      </c>
      <c r="J3" s="58" t="s">
        <v>252</v>
      </c>
      <c r="K3" s="55" t="s">
        <v>484</v>
      </c>
    </row>
    <row r="4" spans="1:14" x14ac:dyDescent="0.25">
      <c r="A4" s="161" t="s">
        <v>257</v>
      </c>
      <c r="B4" s="52">
        <v>0</v>
      </c>
      <c r="I4" s="68">
        <f t="shared" si="0"/>
        <v>4</v>
      </c>
      <c r="J4" s="58" t="s">
        <v>253</v>
      </c>
      <c r="K4" s="55" t="str">
        <f>VLOOKUP(B2,Membres!A6:R200,4,FALSE)</f>
        <v>BONP01119206</v>
      </c>
    </row>
    <row r="5" spans="1:14" x14ac:dyDescent="0.25">
      <c r="I5" s="68">
        <f t="shared" si="0"/>
        <v>5</v>
      </c>
      <c r="J5" s="58" t="s">
        <v>16</v>
      </c>
      <c r="K5" s="57">
        <v>42649</v>
      </c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I6" s="68">
        <f t="shared" si="0"/>
        <v>6</v>
      </c>
      <c r="J6" s="58" t="s">
        <v>277</v>
      </c>
      <c r="K6" s="55" t="str">
        <f>VLOOKUP(B2,Membres!A6:R200,6,FALSE)</f>
        <v>(514) 621 9414</v>
      </c>
    </row>
    <row r="7" spans="1:14" x14ac:dyDescent="0.25">
      <c r="A7" s="209" t="s">
        <v>553</v>
      </c>
      <c r="B7" s="164">
        <v>74.739999999999995</v>
      </c>
      <c r="C7" s="210" t="s">
        <v>10</v>
      </c>
      <c r="D7" s="60">
        <f>IF(ISBLANK(C7),"",VLOOKUP(C7,Bilan!$F$6:$G$25,2,FALSE))</f>
        <v>57253</v>
      </c>
      <c r="E7" s="65" t="s">
        <v>355</v>
      </c>
      <c r="F7" s="65" t="s">
        <v>339</v>
      </c>
      <c r="I7" s="68">
        <f t="shared" si="0"/>
        <v>7</v>
      </c>
      <c r="J7" s="58" t="s">
        <v>254</v>
      </c>
      <c r="K7" s="55" t="s">
        <v>155</v>
      </c>
      <c r="M7" s="203">
        <f>1</f>
        <v>1</v>
      </c>
      <c r="N7" s="203">
        <v>57253</v>
      </c>
    </row>
    <row r="8" spans="1:14" x14ac:dyDescent="0.25">
      <c r="A8" s="209"/>
      <c r="B8" s="164"/>
      <c r="C8" s="210"/>
      <c r="D8" s="60" t="str">
        <f>IF(ISBLANK(C8),"",VLOOKUP(C8,Bilan!$F$6:$G$25,2,FALSE))</f>
        <v/>
      </c>
      <c r="E8" s="65"/>
      <c r="F8" s="65"/>
      <c r="I8" s="68">
        <f t="shared" si="0"/>
        <v>8</v>
      </c>
      <c r="J8" s="58" t="s">
        <v>255</v>
      </c>
      <c r="K8" s="55" t="s">
        <v>485</v>
      </c>
      <c r="M8" s="203">
        <f>IF(N8=N7,M7,M7+1)</f>
        <v>2</v>
      </c>
      <c r="N8" s="203"/>
    </row>
    <row r="9" spans="1:14" x14ac:dyDescent="0.25">
      <c r="A9" s="210"/>
      <c r="B9" s="52"/>
      <c r="C9" s="210"/>
      <c r="D9" s="60" t="str">
        <f>IF(ISBLANK(C9),"",VLOOKUP(C9,Bilan!$F$6:$G$25,2,FALSE))</f>
        <v/>
      </c>
      <c r="E9" s="65"/>
      <c r="F9" s="65"/>
      <c r="I9" s="68">
        <f t="shared" si="0"/>
        <v>9</v>
      </c>
      <c r="J9" s="58" t="s">
        <v>256</v>
      </c>
      <c r="K9" s="193">
        <f>K18-B4</f>
        <v>74.739999999999995</v>
      </c>
      <c r="M9" s="203">
        <f>IF(N9=N8,M8,M8+1)</f>
        <v>2</v>
      </c>
      <c r="N9" s="203"/>
    </row>
    <row r="10" spans="1:14" x14ac:dyDescent="0.25">
      <c r="A10" s="210"/>
      <c r="B10" s="52"/>
      <c r="C10" s="210"/>
      <c r="D10" s="60" t="str">
        <f>IF(ISBLANK(C10),"",VLOOKUP(C10,Bilan!$F$6:$G$25,2,FALSE))</f>
        <v/>
      </c>
      <c r="E10" s="65"/>
      <c r="F10" s="65"/>
      <c r="I10" s="68">
        <f t="shared" si="0"/>
        <v>10</v>
      </c>
      <c r="J10" s="58" t="s">
        <v>258</v>
      </c>
      <c r="K10" s="55" t="str">
        <f>B2</f>
        <v>Pierre Bonzel</v>
      </c>
      <c r="M10" s="203"/>
      <c r="N10" s="203"/>
    </row>
    <row r="11" spans="1:14" x14ac:dyDescent="0.25">
      <c r="A11" s="210"/>
      <c r="B11" s="52"/>
      <c r="C11" s="210"/>
      <c r="D11" s="60" t="str">
        <f>IF(ISBLANK(C11),"",VLOOKUP(C11,Bilan!$F$6:$G$25,2,FALSE))</f>
        <v/>
      </c>
      <c r="E11" s="65"/>
      <c r="F11" s="65"/>
      <c r="I11" s="68">
        <f t="shared" si="0"/>
        <v>11</v>
      </c>
      <c r="J11" s="58" t="s">
        <v>259</v>
      </c>
      <c r="K11" s="55"/>
      <c r="M11" s="203"/>
      <c r="N11" s="203"/>
    </row>
    <row r="12" spans="1:14" x14ac:dyDescent="0.25">
      <c r="A12" s="210"/>
      <c r="B12" s="52"/>
      <c r="C12" s="210"/>
      <c r="D12" s="60" t="str">
        <f>IF(ISBLANK(C12),"",VLOOKUP(C12,Bilan!$F$6:$G$25,2,FALSE))</f>
        <v/>
      </c>
      <c r="E12" s="65"/>
      <c r="F12" s="65"/>
      <c r="I12" s="68">
        <f t="shared" si="0"/>
        <v>12</v>
      </c>
      <c r="J12" s="58" t="s">
        <v>260</v>
      </c>
      <c r="K12" s="55"/>
      <c r="M12" s="203"/>
      <c r="N12" s="203"/>
    </row>
    <row r="13" spans="1:14" x14ac:dyDescent="0.25">
      <c r="A13" s="210"/>
      <c r="B13" s="52"/>
      <c r="C13" s="210"/>
      <c r="D13" s="55" t="str">
        <f>IF(ISBLANK(C13),"",VLOOKUP(C13,Bilan!$F$6:$G$25,2,FALSE))</f>
        <v/>
      </c>
      <c r="E13" s="65"/>
      <c r="F13" s="65"/>
      <c r="I13" s="68">
        <f t="shared" si="0"/>
        <v>13</v>
      </c>
      <c r="J13" s="58" t="s">
        <v>249</v>
      </c>
      <c r="K13" s="55">
        <f>VLOOKUP(B2,Membres!A6:R200,8,FALSE)</f>
        <v>0</v>
      </c>
      <c r="M13" s="203"/>
      <c r="N13" s="203"/>
    </row>
    <row r="14" spans="1:14" ht="15.75" thickBot="1" x14ac:dyDescent="0.3">
      <c r="A14" s="211"/>
      <c r="B14" s="190"/>
      <c r="C14" s="211"/>
      <c r="D14" s="191" t="str">
        <f>IF(ISBLANK(C14),"",VLOOKUP(C14,Bilan!$F$6:$G$25,2,FALSE))</f>
        <v/>
      </c>
      <c r="E14" s="192"/>
      <c r="F14" s="192"/>
      <c r="I14" s="68">
        <f t="shared" si="0"/>
        <v>14</v>
      </c>
      <c r="J14" s="58" t="s">
        <v>17</v>
      </c>
      <c r="K14" s="55" t="str">
        <f>VLOOKUP(B2,Membres!A6:R200,11,FALSE)</f>
        <v>France</v>
      </c>
      <c r="M14" s="203"/>
      <c r="N14" s="203"/>
    </row>
    <row r="15" spans="1:14" ht="15.75" thickTop="1" x14ac:dyDescent="0.25">
      <c r="A15" s="212"/>
      <c r="B15" s="53"/>
      <c r="C15" s="212"/>
      <c r="D15" s="56" t="str">
        <f>IF(ISBLANK(C15),"",VLOOKUP(C15,Bilan!$F$6:$G$25,2,FALSE))</f>
        <v/>
      </c>
      <c r="E15" s="66"/>
      <c r="F15" s="66"/>
      <c r="I15" s="68">
        <f t="shared" si="0"/>
        <v>15</v>
      </c>
      <c r="J15" s="58" t="s">
        <v>261</v>
      </c>
      <c r="K15" s="55">
        <f>VLOOKUP(B2,Membres!A6:R200,10,FALSE)</f>
        <v>0</v>
      </c>
      <c r="M15" s="203"/>
      <c r="N15" s="203"/>
    </row>
    <row r="16" spans="1:14" x14ac:dyDescent="0.25">
      <c r="A16" s="210"/>
      <c r="B16" s="52"/>
      <c r="C16" s="210"/>
      <c r="D16" s="55" t="str">
        <f>IF(ISBLANK(C16),"",VLOOKUP(C16,Bilan!$F$6:$G$25,2,FALSE))</f>
        <v/>
      </c>
      <c r="E16" s="65"/>
      <c r="F16" s="65"/>
      <c r="I16" s="68">
        <f t="shared" si="0"/>
        <v>16</v>
      </c>
      <c r="J16" s="58" t="s">
        <v>250</v>
      </c>
      <c r="K16" s="55" t="str">
        <f>VLOOKUP(B2,Membres!A6:R200,9,FALSE)</f>
        <v>France, Paris</v>
      </c>
      <c r="M16" s="203"/>
      <c r="N16" s="203"/>
    </row>
    <row r="17" spans="1:14" x14ac:dyDescent="0.25">
      <c r="A17" s="210"/>
      <c r="B17" s="52"/>
      <c r="C17" s="210"/>
      <c r="D17" s="55" t="str">
        <f>IF(ISBLANK(C17),"",VLOOKUP(C17,Bilan!$F$6:$G$25,2,FALSE))</f>
        <v/>
      </c>
      <c r="E17" s="65"/>
      <c r="F17" s="65"/>
      <c r="I17" s="68">
        <f t="shared" si="0"/>
        <v>17</v>
      </c>
      <c r="J17" s="58" t="s">
        <v>14</v>
      </c>
      <c r="K17" s="55" t="str">
        <f>VLOOKUP(B2,Membres!A6:R200,7,FALSE)</f>
        <v>pierre.bonzel@gmail.com</v>
      </c>
      <c r="M17" s="203"/>
      <c r="N17" s="203"/>
    </row>
    <row r="18" spans="1:14" x14ac:dyDescent="0.25">
      <c r="A18" s="210"/>
      <c r="B18" s="52"/>
      <c r="C18" s="210"/>
      <c r="D18" s="55" t="str">
        <f>IF(ISBLANK(C18),"",VLOOKUP(C18,Bilan!$F$6:$G$25,2,FALSE))</f>
        <v/>
      </c>
      <c r="E18" s="65"/>
      <c r="F18" s="65"/>
      <c r="G18" s="49"/>
      <c r="H18" s="49"/>
      <c r="I18" s="68">
        <f t="shared" si="0"/>
        <v>18</v>
      </c>
      <c r="J18" s="58" t="s">
        <v>262</v>
      </c>
      <c r="K18" s="59">
        <f>SUM(B7:B100)</f>
        <v>74.739999999999995</v>
      </c>
      <c r="M18" s="203"/>
      <c r="N18" s="203"/>
    </row>
    <row r="19" spans="1:14" x14ac:dyDescent="0.25">
      <c r="A19" s="210"/>
      <c r="B19" s="52"/>
      <c r="C19" s="210"/>
      <c r="D19" s="55" t="str">
        <f>IF(ISBLANK(C19),"",VLOOKUP(C19,Bilan!$F$6:$G$25,2,FALSE))</f>
        <v/>
      </c>
      <c r="E19" s="65"/>
      <c r="F19" s="65"/>
      <c r="I19" s="68">
        <f t="shared" si="0"/>
        <v>19</v>
      </c>
      <c r="J19" s="58" t="s">
        <v>263</v>
      </c>
      <c r="K19" s="59">
        <f>SUMIFS(B7:B58,D7:D58,K24)</f>
        <v>74.739999999999995</v>
      </c>
      <c r="M19" s="203"/>
      <c r="N19" s="203"/>
    </row>
    <row r="20" spans="1:14" x14ac:dyDescent="0.25">
      <c r="A20" s="210"/>
      <c r="B20" s="52"/>
      <c r="C20" s="210"/>
      <c r="D20" s="55" t="str">
        <f>IF(ISBLANK(C20),"",VLOOKUP(C20,Bilan!$F$6:$G$25,2,FALSE))</f>
        <v/>
      </c>
      <c r="E20" s="65"/>
      <c r="F20" s="65"/>
      <c r="I20" s="68">
        <f t="shared" si="0"/>
        <v>20</v>
      </c>
      <c r="J20" s="58" t="s">
        <v>264</v>
      </c>
      <c r="K20" s="59">
        <f>SUMIFS(B7:B58,D7:D58,K25)</f>
        <v>0</v>
      </c>
      <c r="M20" s="203"/>
      <c r="N20" s="203"/>
    </row>
    <row r="21" spans="1:14" x14ac:dyDescent="0.25">
      <c r="A21" s="210"/>
      <c r="B21" s="52"/>
      <c r="C21" s="210"/>
      <c r="D21" s="55" t="str">
        <f>IF(ISBLANK(C21),"",VLOOKUP(C21,Bilan!$F$6:$G$25,2,FALSE))</f>
        <v/>
      </c>
      <c r="E21" s="65"/>
      <c r="F21" s="65"/>
      <c r="I21" s="68">
        <f t="shared" si="0"/>
        <v>21</v>
      </c>
      <c r="J21" s="58" t="s">
        <v>265</v>
      </c>
      <c r="K21" s="59">
        <f>SUMIFS(B7:B58,D7:D58,K26)</f>
        <v>0</v>
      </c>
      <c r="M21" s="203"/>
      <c r="N21" s="203"/>
    </row>
    <row r="22" spans="1:14" x14ac:dyDescent="0.25">
      <c r="A22" s="210"/>
      <c r="B22" s="52"/>
      <c r="C22" s="210"/>
      <c r="D22" s="55" t="str">
        <f>IF(ISBLANK(C22),"",VLOOKUP(C22,Bilan!$F$6:$G$25,2,FALSE))</f>
        <v/>
      </c>
      <c r="E22" s="65"/>
      <c r="F22" s="65"/>
      <c r="I22" s="68">
        <f t="shared" si="0"/>
        <v>22</v>
      </c>
      <c r="J22" s="58" t="s">
        <v>266</v>
      </c>
      <c r="K22" s="59">
        <f>SUMIFS(B7:B58,D7:D58,K27)</f>
        <v>0</v>
      </c>
      <c r="M22" s="203"/>
      <c r="N22" s="203"/>
    </row>
    <row r="23" spans="1:14" x14ac:dyDescent="0.25">
      <c r="A23" s="210"/>
      <c r="B23" s="52"/>
      <c r="C23" s="210"/>
      <c r="D23" s="55" t="str">
        <f>IF(ISBLANK(C23),"",VLOOKUP(C23,Bilan!$F$6:$G$25,2,FALSE))</f>
        <v/>
      </c>
      <c r="E23" s="65"/>
      <c r="F23" s="65"/>
      <c r="I23" s="68">
        <f t="shared" si="0"/>
        <v>23</v>
      </c>
      <c r="J23" s="58" t="s">
        <v>267</v>
      </c>
      <c r="K23" s="59">
        <f>SUMIFS(B7:B58,D7:D58,K28)</f>
        <v>0</v>
      </c>
      <c r="M23" s="203"/>
      <c r="N23" s="203"/>
    </row>
    <row r="24" spans="1:14" x14ac:dyDescent="0.25">
      <c r="A24" s="210"/>
      <c r="B24" s="52"/>
      <c r="C24" s="210"/>
      <c r="D24" s="55" t="str">
        <f>IF(ISBLANK(C24),"",VLOOKUP(C24,Bilan!$F$6:$G$25,2,FALSE))</f>
        <v/>
      </c>
      <c r="E24" s="65"/>
      <c r="F24" s="65"/>
      <c r="I24" s="68">
        <f t="shared" si="0"/>
        <v>24</v>
      </c>
      <c r="J24" s="58" t="s">
        <v>268</v>
      </c>
      <c r="K24" s="55">
        <f>IF(ISERROR(VLOOKUP(1,M7:N58,2,FALSE))," ",VLOOKUP(1,M7:N58,2,FALSE))</f>
        <v>57253</v>
      </c>
      <c r="M24" s="203"/>
      <c r="N24" s="203"/>
    </row>
    <row r="25" spans="1:14" x14ac:dyDescent="0.25">
      <c r="A25" s="210"/>
      <c r="B25" s="52"/>
      <c r="C25" s="210"/>
      <c r="D25" s="55" t="str">
        <f>IF(ISBLANK(C25),"",VLOOKUP(C25,Bilan!$F$6:$G$25,2,FALSE))</f>
        <v/>
      </c>
      <c r="E25" s="65"/>
      <c r="F25" s="65"/>
      <c r="I25" s="68">
        <f t="shared" si="0"/>
        <v>25</v>
      </c>
      <c r="J25" s="58" t="s">
        <v>269</v>
      </c>
      <c r="K25" s="55">
        <f>IF(ISERROR(VLOOKUP(2,M7:N58,2,FALSE))," ",VLOOKUP(2,M7:N58,2,FALSE))</f>
        <v>0</v>
      </c>
      <c r="M25" s="203"/>
      <c r="N25" s="203"/>
    </row>
    <row r="26" spans="1:14" x14ac:dyDescent="0.25">
      <c r="A26" s="210"/>
      <c r="B26" s="52"/>
      <c r="C26" s="210"/>
      <c r="D26" s="55" t="str">
        <f>IF(ISBLANK(C26),"",VLOOKUP(C26,Bilan!$F$6:$G$25,2,FALSE))</f>
        <v/>
      </c>
      <c r="E26" s="65"/>
      <c r="F26" s="65"/>
      <c r="I26" s="68">
        <f t="shared" si="0"/>
        <v>26</v>
      </c>
      <c r="J26" s="58" t="s">
        <v>270</v>
      </c>
      <c r="K26" s="55" t="str">
        <f>IF(ISERROR(VLOOKUP(3,M7:N58,2,FALSE))," ",VLOOKUP(3,M7:N58,2,FALSE))</f>
        <v xml:space="preserve"> </v>
      </c>
      <c r="M26" s="203"/>
      <c r="N26" s="203"/>
    </row>
    <row r="27" spans="1:14" x14ac:dyDescent="0.25">
      <c r="A27" s="210"/>
      <c r="B27" s="52"/>
      <c r="C27" s="210"/>
      <c r="D27" s="55" t="str">
        <f>IF(ISBLANK(C27),"",VLOOKUP(C27,Bilan!$F$6:$G$25,2,FALSE))</f>
        <v/>
      </c>
      <c r="E27" s="65"/>
      <c r="F27" s="65"/>
      <c r="I27" s="68">
        <f t="shared" si="0"/>
        <v>27</v>
      </c>
      <c r="J27" s="58" t="s">
        <v>271</v>
      </c>
      <c r="K27" s="55" t="str">
        <f>IF(ISERROR(VLOOKUP(4,M7:N58,2,FALSE))," ",VLOOKUP(4,M7:N58,2,FALSE))</f>
        <v xml:space="preserve"> </v>
      </c>
      <c r="M27" s="203"/>
      <c r="N27" s="203"/>
    </row>
    <row r="28" spans="1:14" x14ac:dyDescent="0.25">
      <c r="A28" s="210"/>
      <c r="B28" s="52"/>
      <c r="C28" s="210"/>
      <c r="D28" s="55" t="str">
        <f>IF(ISBLANK(C28),"",VLOOKUP(C28,Bilan!$F$6:$G$25,2,FALSE))</f>
        <v/>
      </c>
      <c r="E28" s="65"/>
      <c r="F28" s="65"/>
      <c r="I28" s="68">
        <f t="shared" si="0"/>
        <v>28</v>
      </c>
      <c r="J28" s="58" t="s">
        <v>272</v>
      </c>
      <c r="K28" s="55" t="str">
        <f>IF(ISERROR(VLOOKUP(5,M7:N58,2,FALSE))," ",VLOOKUP(5,M7:N58,2,FALSE))</f>
        <v xml:space="preserve"> </v>
      </c>
      <c r="M28" s="203"/>
      <c r="N28" s="203"/>
    </row>
    <row r="29" spans="1:14" x14ac:dyDescent="0.25">
      <c r="A29" s="210"/>
      <c r="B29" s="52"/>
      <c r="C29" s="210"/>
      <c r="D29" s="55" t="str">
        <f>IF(ISBLANK(C29),"",VLOOKUP(C29,Bilan!$F$6:$G$25,2,FALSE))</f>
        <v/>
      </c>
      <c r="E29" s="65"/>
      <c r="F29" s="65"/>
      <c r="I29" s="68">
        <f t="shared" si="0"/>
        <v>29</v>
      </c>
      <c r="J29" s="58" t="s">
        <v>19</v>
      </c>
      <c r="K29" s="55">
        <v>300050</v>
      </c>
      <c r="M29" s="203"/>
      <c r="N29" s="203"/>
    </row>
    <row r="30" spans="1:14" x14ac:dyDescent="0.25">
      <c r="A30" s="210"/>
      <c r="B30" s="52"/>
      <c r="C30" s="210"/>
      <c r="D30" s="55" t="str">
        <f>IF(ISBLANK(C30),"",VLOOKUP(C30,Bilan!$F$6:$G$25,2,FALSE))</f>
        <v/>
      </c>
      <c r="E30" s="65"/>
      <c r="F30" s="65"/>
      <c r="I30" s="68">
        <f t="shared" si="0"/>
        <v>30</v>
      </c>
      <c r="J30" s="58" t="s">
        <v>275</v>
      </c>
      <c r="K30" s="55" t="s">
        <v>483</v>
      </c>
      <c r="M30" s="203"/>
      <c r="N30" s="203"/>
    </row>
    <row r="31" spans="1:14" x14ac:dyDescent="0.25">
      <c r="A31" s="210"/>
      <c r="B31" s="48"/>
      <c r="C31" s="210"/>
      <c r="D31" s="58" t="str">
        <f>IF(ISBLANK(C31),"",VLOOKUP(C31,Bilan!$F$6:$G$25,2,FALSE))</f>
        <v/>
      </c>
      <c r="E31" s="65"/>
      <c r="F31" s="65"/>
      <c r="I31" s="68">
        <f t="shared" si="0"/>
        <v>31</v>
      </c>
      <c r="J31" s="58" t="s">
        <v>276</v>
      </c>
      <c r="K31" s="55">
        <f>IF(ISBLANK(A15),0,1)</f>
        <v>0</v>
      </c>
      <c r="M31" s="203"/>
      <c r="N31" s="203"/>
    </row>
    <row r="32" spans="1:14" x14ac:dyDescent="0.25">
      <c r="A32" s="210"/>
      <c r="B32" s="48"/>
      <c r="C32" s="210"/>
      <c r="D32" s="58" t="str">
        <f>IF(ISBLANK(C32),"",VLOOKUP(C32,Bilan!$F$6:$G$25,2,FALSE))</f>
        <v/>
      </c>
      <c r="E32" s="65"/>
      <c r="F32" s="65"/>
      <c r="M32" s="203"/>
      <c r="N32" s="203"/>
    </row>
    <row r="33" spans="1:14" x14ac:dyDescent="0.25">
      <c r="A33" s="210"/>
      <c r="B33" s="48"/>
      <c r="C33" s="210"/>
      <c r="D33" s="58" t="str">
        <f>IF(ISBLANK(C33),"",VLOOKUP(C33,Bilan!$F$6:$G$25,2,FALSE))</f>
        <v/>
      </c>
      <c r="E33" s="65"/>
      <c r="F33" s="65"/>
      <c r="M33" s="203"/>
      <c r="N33" s="203"/>
    </row>
    <row r="34" spans="1:14" x14ac:dyDescent="0.25">
      <c r="A34" s="210"/>
      <c r="B34" s="48"/>
      <c r="C34" s="210"/>
      <c r="D34" s="58" t="str">
        <f>IF(ISBLANK(C34),"",VLOOKUP(C34,Bilan!$F$6:$G$25,2,FALSE))</f>
        <v/>
      </c>
      <c r="E34" s="65"/>
      <c r="F34" s="65"/>
      <c r="M34" s="203"/>
      <c r="N34" s="203"/>
    </row>
    <row r="35" spans="1:14" x14ac:dyDescent="0.25">
      <c r="A35" s="210"/>
      <c r="B35" s="48"/>
      <c r="C35" s="210"/>
      <c r="D35" s="58" t="str">
        <f>IF(ISBLANK(C35),"",VLOOKUP(C35,Bilan!$F$6:$G$25,2,FALSE))</f>
        <v/>
      </c>
      <c r="E35" s="65"/>
      <c r="F35" s="65"/>
      <c r="M35" s="203"/>
      <c r="N35" s="203"/>
    </row>
    <row r="36" spans="1:14" x14ac:dyDescent="0.25">
      <c r="A36" s="210"/>
      <c r="B36" s="48"/>
      <c r="C36" s="210"/>
      <c r="D36" s="58" t="str">
        <f>IF(ISBLANK(C36),"",VLOOKUP(C36,Bilan!$F$6:$G$25,2,FALSE))</f>
        <v/>
      </c>
      <c r="E36" s="65"/>
      <c r="F36" s="65"/>
      <c r="M36" s="203"/>
      <c r="N36" s="203"/>
    </row>
    <row r="37" spans="1:14" x14ac:dyDescent="0.25">
      <c r="A37" s="210"/>
      <c r="B37" s="48"/>
      <c r="C37" s="210"/>
      <c r="D37" s="58" t="str">
        <f>IF(ISBLANK(C37),"",VLOOKUP(C37,Bilan!$F$6:$G$25,2,FALSE))</f>
        <v/>
      </c>
      <c r="E37" s="65"/>
      <c r="F37" s="65"/>
      <c r="M37" s="203"/>
      <c r="N37" s="203"/>
    </row>
    <row r="38" spans="1:14" x14ac:dyDescent="0.25">
      <c r="A38" s="210"/>
      <c r="B38" s="48"/>
      <c r="C38" s="210"/>
      <c r="D38" s="58" t="str">
        <f>IF(ISBLANK(C38),"",VLOOKUP(C38,Bilan!$F$6:$G$25,2,FALSE))</f>
        <v/>
      </c>
      <c r="E38" s="65"/>
      <c r="F38" s="65"/>
      <c r="M38" s="203"/>
      <c r="N38" s="203"/>
    </row>
    <row r="39" spans="1:14" x14ac:dyDescent="0.25">
      <c r="A39" s="210"/>
      <c r="B39" s="48"/>
      <c r="C39" s="210"/>
      <c r="D39" s="58" t="str">
        <f>IF(ISBLANK(C39),"",VLOOKUP(C39,Bilan!$F$6:$G$25,2,FALSE))</f>
        <v/>
      </c>
      <c r="E39" s="65"/>
      <c r="F39" s="65"/>
      <c r="M39" s="203"/>
      <c r="N39" s="203"/>
    </row>
    <row r="40" spans="1:14" x14ac:dyDescent="0.25">
      <c r="A40" s="210"/>
      <c r="B40" s="48"/>
      <c r="C40" s="210"/>
      <c r="D40" s="58" t="str">
        <f>IF(ISBLANK(C40),"",VLOOKUP(C40,Bilan!$F$6:$G$25,2,FALSE))</f>
        <v/>
      </c>
      <c r="E40" s="65"/>
      <c r="F40" s="65"/>
      <c r="M40" s="203"/>
      <c r="N40" s="203"/>
    </row>
    <row r="41" spans="1:14" x14ac:dyDescent="0.25">
      <c r="A41" s="210"/>
      <c r="B41" s="48"/>
      <c r="C41" s="210"/>
      <c r="D41" s="58" t="str">
        <f>IF(ISBLANK(C41),"",VLOOKUP(C41,Bilan!$F$6:$G$25,2,FALSE))</f>
        <v/>
      </c>
      <c r="E41" s="65"/>
      <c r="F41" s="65"/>
      <c r="M41" s="203"/>
      <c r="N41" s="203"/>
    </row>
    <row r="42" spans="1:14" x14ac:dyDescent="0.25">
      <c r="A42" s="210"/>
      <c r="B42" s="48"/>
      <c r="C42" s="210"/>
      <c r="D42" s="58" t="str">
        <f>IF(ISBLANK(C42),"",VLOOKUP(C42,Bilan!$F$6:$G$25,2,FALSE))</f>
        <v/>
      </c>
      <c r="E42" s="65"/>
      <c r="F42" s="65"/>
      <c r="M42" s="203"/>
      <c r="N42" s="203"/>
    </row>
    <row r="43" spans="1:14" x14ac:dyDescent="0.25">
      <c r="A43" s="210"/>
      <c r="B43" s="48"/>
      <c r="C43" s="210"/>
      <c r="D43" s="58" t="str">
        <f>IF(ISBLANK(C43),"",VLOOKUP(C43,Bilan!$F$6:$G$25,2,FALSE))</f>
        <v/>
      </c>
      <c r="E43" s="65"/>
      <c r="F43" s="65"/>
      <c r="M43" s="203"/>
      <c r="N43" s="203"/>
    </row>
    <row r="44" spans="1:14" x14ac:dyDescent="0.25">
      <c r="A44" s="210"/>
      <c r="B44" s="48"/>
      <c r="C44" s="210"/>
      <c r="D44" s="58" t="str">
        <f>IF(ISBLANK(C44),"",VLOOKUP(C44,Bilan!$F$6:$G$25,2,FALSE))</f>
        <v/>
      </c>
      <c r="E44" s="65"/>
      <c r="F44" s="65"/>
      <c r="M44" s="203"/>
      <c r="N44" s="203"/>
    </row>
    <row r="45" spans="1:14" x14ac:dyDescent="0.25">
      <c r="A45" s="210"/>
      <c r="B45" s="48"/>
      <c r="C45" s="210"/>
      <c r="D45" s="58" t="str">
        <f>IF(ISBLANK(C45),"",VLOOKUP(C45,Bilan!$F$6:$G$25,2,FALSE))</f>
        <v/>
      </c>
      <c r="E45" s="65"/>
      <c r="F45" s="65"/>
      <c r="M45" s="203"/>
      <c r="N45" s="203"/>
    </row>
    <row r="46" spans="1:14" x14ac:dyDescent="0.25">
      <c r="A46" s="210"/>
      <c r="B46" s="48"/>
      <c r="C46" s="210"/>
      <c r="D46" s="58" t="str">
        <f>IF(ISBLANK(C46),"",VLOOKUP(C46,Bilan!$F$6:$G$25,2,FALSE))</f>
        <v/>
      </c>
      <c r="E46" s="65"/>
      <c r="F46" s="65"/>
      <c r="M46" s="203"/>
      <c r="N46" s="203"/>
    </row>
    <row r="47" spans="1:14" x14ac:dyDescent="0.25">
      <c r="A47" s="210"/>
      <c r="B47" s="48"/>
      <c r="C47" s="210"/>
      <c r="D47" s="58" t="str">
        <f>IF(ISBLANK(C47),"",VLOOKUP(C47,Bilan!$F$6:$G$25,2,FALSE))</f>
        <v/>
      </c>
      <c r="E47" s="65"/>
      <c r="F47" s="65"/>
      <c r="M47" s="203"/>
      <c r="N47" s="203"/>
    </row>
    <row r="48" spans="1:14" x14ac:dyDescent="0.25">
      <c r="A48" s="210"/>
      <c r="B48" s="48"/>
      <c r="C48" s="210"/>
      <c r="D48" s="58" t="str">
        <f>IF(ISBLANK(C48),"",VLOOKUP(C48,Bilan!$F$6:$G$25,2,FALSE))</f>
        <v/>
      </c>
      <c r="E48" s="65"/>
      <c r="F48" s="65"/>
      <c r="M48" s="203"/>
      <c r="N48" s="203"/>
    </row>
    <row r="49" spans="1:14" x14ac:dyDescent="0.25">
      <c r="A49" s="210"/>
      <c r="B49" s="48"/>
      <c r="C49" s="210"/>
      <c r="D49" s="58" t="str">
        <f>IF(ISBLANK(C49),"",VLOOKUP(C49,Bilan!$F$6:$G$25,2,FALSE))</f>
        <v/>
      </c>
      <c r="E49" s="65"/>
      <c r="F49" s="65"/>
      <c r="M49" s="203"/>
      <c r="N49" s="203"/>
    </row>
    <row r="50" spans="1:14" x14ac:dyDescent="0.25">
      <c r="A50" s="210"/>
      <c r="B50" s="48"/>
      <c r="C50" s="210"/>
      <c r="D50" s="58" t="str">
        <f>IF(ISBLANK(C50),"",VLOOKUP(C50,Bilan!$F$6:$G$25,2,FALSE))</f>
        <v/>
      </c>
      <c r="E50" s="65"/>
      <c r="F50" s="65"/>
      <c r="M50" s="203"/>
      <c r="N50" s="203"/>
    </row>
    <row r="51" spans="1:14" x14ac:dyDescent="0.25">
      <c r="A51" s="210"/>
      <c r="B51" s="48"/>
      <c r="C51" s="210"/>
      <c r="D51" s="58" t="str">
        <f>IF(ISBLANK(C51),"",VLOOKUP(C51,Bilan!$F$6:$G$25,2,FALSE))</f>
        <v/>
      </c>
      <c r="E51" s="65"/>
      <c r="F51" s="65"/>
      <c r="M51" s="203"/>
      <c r="N51" s="203"/>
    </row>
    <row r="52" spans="1:14" x14ac:dyDescent="0.25">
      <c r="A52" s="210"/>
      <c r="B52" s="48"/>
      <c r="C52" s="210"/>
      <c r="D52" s="58" t="str">
        <f>IF(ISBLANK(C52),"",VLOOKUP(C52,Bilan!$F$6:$G$25,2,FALSE))</f>
        <v/>
      </c>
      <c r="E52" s="65"/>
      <c r="F52" s="65"/>
      <c r="M52" s="203"/>
      <c r="N52" s="203"/>
    </row>
    <row r="53" spans="1:14" x14ac:dyDescent="0.25">
      <c r="A53" s="210"/>
      <c r="B53" s="48"/>
      <c r="C53" s="210"/>
      <c r="D53" s="58" t="str">
        <f>IF(ISBLANK(C53),"",VLOOKUP(C53,Bilan!$F$6:$G$25,2,FALSE))</f>
        <v/>
      </c>
      <c r="E53" s="65"/>
      <c r="F53" s="65"/>
      <c r="M53" s="203"/>
      <c r="N53" s="203"/>
    </row>
    <row r="54" spans="1:14" x14ac:dyDescent="0.25">
      <c r="A54" s="210"/>
      <c r="B54" s="48"/>
      <c r="C54" s="210"/>
      <c r="D54" s="58" t="str">
        <f>IF(ISBLANK(C54),"",VLOOKUP(C54,Bilan!$F$6:$G$25,2,FALSE))</f>
        <v/>
      </c>
      <c r="E54" s="65"/>
      <c r="F54" s="65"/>
      <c r="M54" s="203"/>
      <c r="N54" s="203"/>
    </row>
    <row r="55" spans="1:14" x14ac:dyDescent="0.25">
      <c r="A55" s="210"/>
      <c r="B55" s="48"/>
      <c r="C55" s="210"/>
      <c r="D55" s="58" t="str">
        <f>IF(ISBLANK(C55),"",VLOOKUP(C55,Bilan!$F$6:$G$25,2,FALSE))</f>
        <v/>
      </c>
      <c r="E55" s="65"/>
      <c r="F55" s="65"/>
      <c r="M55" s="203"/>
      <c r="N55" s="203"/>
    </row>
    <row r="56" spans="1:14" x14ac:dyDescent="0.25">
      <c r="A56" s="210"/>
      <c r="B56" s="48"/>
      <c r="C56" s="210"/>
      <c r="D56" s="58" t="str">
        <f>IF(ISBLANK(C56),"",VLOOKUP(C56,Bilan!$F$6:$G$25,2,FALSE))</f>
        <v/>
      </c>
      <c r="E56" s="65"/>
      <c r="F56" s="65"/>
      <c r="M56" s="203"/>
      <c r="N56" s="203"/>
    </row>
    <row r="57" spans="1:14" x14ac:dyDescent="0.25">
      <c r="M57" s="203"/>
      <c r="N57" s="203"/>
    </row>
    <row r="58" spans="1:14" x14ac:dyDescent="0.25">
      <c r="M58" s="203"/>
      <c r="N58" s="203"/>
    </row>
  </sheetData>
  <sheetProtection password="C736" sheet="1" objects="1" scenarios="1"/>
  <sortState ref="N7">
    <sortCondition ref="N7"/>
  </sortState>
  <conditionalFormatting sqref="B2:B4">
    <cfRule type="expression" dxfId="8" priority="3">
      <formula>LEN(TRIM(B2:B4))=0</formula>
    </cfRule>
  </conditionalFormatting>
  <conditionalFormatting sqref="A7:C7">
    <cfRule type="expression" dxfId="7" priority="2">
      <formula>LEN(TRIM(A7:C7))=0</formula>
    </cfRule>
  </conditionalFormatting>
  <conditionalFormatting sqref="E7:F7">
    <cfRule type="expression" dxfId="6" priority="1">
      <formula>LEN(TRIM(E7:F7))=0</formula>
    </cfRule>
  </conditionalFormatting>
  <dataValidations count="2">
    <dataValidation type="list" allowBlank="1" showInputMessage="1" showErrorMessage="1" sqref="F7:F56">
      <formula1>INDIRECT(E7)</formula1>
    </dataValidation>
    <dataValidation type="list" allowBlank="1" showInputMessage="1" showErrorMessage="1" sqref="E7:E56">
      <formula1>groupe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Membres!$A$6:$A$41</xm:f>
          </x14:formula1>
          <xm:sqref>B2</xm:sqref>
        </x14:dataValidation>
        <x14:dataValidation type="list" allowBlank="1" showInputMessage="1" showErrorMessage="1">
          <x14:formula1>
            <xm:f>Bilan!$F$6:$F$19</xm:f>
          </x14:formula1>
          <xm:sqref>C7:C14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8"/>
  <dimension ref="A1:N58"/>
  <sheetViews>
    <sheetView workbookViewId="0">
      <selection activeCell="G33" sqref="G33"/>
    </sheetView>
  </sheetViews>
  <sheetFormatPr baseColWidth="10" defaultRowHeight="15" x14ac:dyDescent="0.25"/>
  <cols>
    <col min="1" max="1" width="22.85546875" style="225" customWidth="1"/>
    <col min="2" max="2" width="16.85546875" style="225" bestFit="1" customWidth="1"/>
    <col min="3" max="3" width="19.140625" style="225" customWidth="1"/>
    <col min="4" max="4" width="7.7109375" style="225" bestFit="1" customWidth="1"/>
    <col min="5" max="5" width="23" style="225" customWidth="1"/>
    <col min="6" max="6" width="23.5703125" style="225" customWidth="1"/>
    <col min="7" max="7" width="22.42578125" style="225" bestFit="1" customWidth="1"/>
    <col min="8" max="8" width="17.85546875" style="225" customWidth="1"/>
    <col min="9" max="9" width="2.85546875" style="225" customWidth="1"/>
    <col min="10" max="10" width="24.42578125" style="225" bestFit="1" customWidth="1"/>
    <col min="11" max="11" width="11.42578125" style="225"/>
  </cols>
  <sheetData>
    <row r="1" spans="1:14" x14ac:dyDescent="0.25">
      <c r="A1" s="161" t="s">
        <v>274</v>
      </c>
      <c r="B1" s="55" t="s">
        <v>554</v>
      </c>
      <c r="I1" s="68">
        <v>1</v>
      </c>
      <c r="J1" s="58" t="s">
        <v>251</v>
      </c>
      <c r="K1" s="55" t="str">
        <f>VLOOKUP(B2,Membres!A6:R200,3,FALSE)</f>
        <v>Jonathan</v>
      </c>
    </row>
    <row r="2" spans="1:14" x14ac:dyDescent="0.25">
      <c r="A2" s="161" t="s">
        <v>244</v>
      </c>
      <c r="B2" s="210" t="s">
        <v>521</v>
      </c>
      <c r="I2" s="68">
        <f t="shared" ref="I2:I31" si="0">I1+1</f>
        <v>2</v>
      </c>
      <c r="J2" s="58" t="s">
        <v>248</v>
      </c>
      <c r="K2" s="55" t="str">
        <f>VLOOKUP(B2,Membres!A6:R200,2,FALSE)</f>
        <v>Pierrat</v>
      </c>
    </row>
    <row r="3" spans="1:14" x14ac:dyDescent="0.25">
      <c r="A3" s="161" t="s">
        <v>13</v>
      </c>
      <c r="B3" s="210" t="s">
        <v>522</v>
      </c>
      <c r="I3" s="68">
        <f t="shared" si="0"/>
        <v>3</v>
      </c>
      <c r="J3" s="58" t="s">
        <v>252</v>
      </c>
      <c r="K3" s="55" t="s">
        <v>484</v>
      </c>
    </row>
    <row r="4" spans="1:14" x14ac:dyDescent="0.25">
      <c r="A4" s="161" t="s">
        <v>257</v>
      </c>
      <c r="B4" s="52">
        <v>0</v>
      </c>
      <c r="I4" s="68">
        <f t="shared" si="0"/>
        <v>4</v>
      </c>
      <c r="J4" s="58" t="s">
        <v>253</v>
      </c>
      <c r="K4" s="55" t="str">
        <f>VLOOKUP(B2,Membres!A6:R200,4,FALSE)</f>
        <v>PEIJ31109104</v>
      </c>
    </row>
    <row r="5" spans="1:14" x14ac:dyDescent="0.25">
      <c r="I5" s="68">
        <f t="shared" si="0"/>
        <v>5</v>
      </c>
      <c r="J5" s="58" t="s">
        <v>16</v>
      </c>
      <c r="K5" s="57">
        <v>42649</v>
      </c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I6" s="68">
        <f t="shared" si="0"/>
        <v>6</v>
      </c>
      <c r="J6" s="58" t="s">
        <v>277</v>
      </c>
      <c r="K6" s="55" t="str">
        <f>VLOOKUP(B2,Membres!A6:R200,6,FALSE)</f>
        <v>(514) 709-7340</v>
      </c>
    </row>
    <row r="7" spans="1:14" x14ac:dyDescent="0.25">
      <c r="A7" s="209" t="s">
        <v>555</v>
      </c>
      <c r="B7" s="164">
        <v>9.43</v>
      </c>
      <c r="C7" s="210" t="s">
        <v>10</v>
      </c>
      <c r="D7" s="60">
        <f>IF(ISBLANK(C7),"",VLOOKUP(C7,Bilan!$F$6:$G$25,2,FALSE))</f>
        <v>57253</v>
      </c>
      <c r="E7" s="65"/>
      <c r="F7" s="65"/>
      <c r="I7" s="68">
        <f t="shared" si="0"/>
        <v>7</v>
      </c>
      <c r="J7" s="58" t="s">
        <v>254</v>
      </c>
      <c r="K7" s="55" t="s">
        <v>155</v>
      </c>
      <c r="M7" s="203">
        <f>1</f>
        <v>1</v>
      </c>
      <c r="N7" s="203">
        <v>54210</v>
      </c>
    </row>
    <row r="8" spans="1:14" x14ac:dyDescent="0.25">
      <c r="A8" s="209" t="s">
        <v>556</v>
      </c>
      <c r="B8" s="164">
        <v>14.33</v>
      </c>
      <c r="C8" s="210" t="s">
        <v>10</v>
      </c>
      <c r="D8" s="60">
        <f>IF(ISBLANK(C8),"",VLOOKUP(C8,Bilan!$F$6:$G$25,2,FALSE))</f>
        <v>57253</v>
      </c>
      <c r="E8" s="65"/>
      <c r="F8" s="65"/>
      <c r="I8" s="68">
        <f t="shared" si="0"/>
        <v>8</v>
      </c>
      <c r="J8" s="58" t="s">
        <v>255</v>
      </c>
      <c r="K8" s="55" t="s">
        <v>485</v>
      </c>
      <c r="M8" s="203">
        <f>IF(N8=N7,M7,M7+1)</f>
        <v>2</v>
      </c>
      <c r="N8" s="203">
        <v>57253</v>
      </c>
    </row>
    <row r="9" spans="1:14" x14ac:dyDescent="0.25">
      <c r="A9" s="210" t="s">
        <v>557</v>
      </c>
      <c r="B9" s="52">
        <v>66</v>
      </c>
      <c r="C9" s="210" t="s">
        <v>10</v>
      </c>
      <c r="D9" s="60">
        <f>IF(ISBLANK(C9),"",VLOOKUP(C9,Bilan!$F$6:$G$25,2,FALSE))</f>
        <v>57253</v>
      </c>
      <c r="E9" s="65"/>
      <c r="F9" s="65"/>
      <c r="I9" s="68">
        <f t="shared" si="0"/>
        <v>9</v>
      </c>
      <c r="J9" s="58" t="s">
        <v>256</v>
      </c>
      <c r="K9" s="193">
        <f>K18-B4</f>
        <v>363.47999999999996</v>
      </c>
      <c r="M9" s="203"/>
      <c r="N9" s="203">
        <v>57253</v>
      </c>
    </row>
    <row r="10" spans="1:14" x14ac:dyDescent="0.25">
      <c r="A10" s="210" t="s">
        <v>558</v>
      </c>
      <c r="B10" s="52">
        <v>224.39</v>
      </c>
      <c r="C10" s="210" t="s">
        <v>10</v>
      </c>
      <c r="D10" s="60">
        <f>IF(ISBLANK(C10),"",VLOOKUP(C10,Bilan!$F$6:$G$25,2,FALSE))</f>
        <v>57253</v>
      </c>
      <c r="E10" s="65"/>
      <c r="F10" s="65"/>
      <c r="I10" s="68">
        <f t="shared" si="0"/>
        <v>10</v>
      </c>
      <c r="J10" s="58" t="s">
        <v>258</v>
      </c>
      <c r="K10" s="55" t="str">
        <f>B2</f>
        <v>Jonathan Pierrat</v>
      </c>
      <c r="M10" s="203"/>
      <c r="N10" s="203">
        <v>57253</v>
      </c>
    </row>
    <row r="11" spans="1:14" x14ac:dyDescent="0.25">
      <c r="A11" s="210" t="s">
        <v>559</v>
      </c>
      <c r="B11" s="52">
        <v>12.5</v>
      </c>
      <c r="C11" s="210" t="s">
        <v>10</v>
      </c>
      <c r="D11" s="60">
        <f>IF(ISBLANK(C11),"",VLOOKUP(C11,Bilan!$F$6:$G$25,2,FALSE))</f>
        <v>57253</v>
      </c>
      <c r="E11" s="65"/>
      <c r="F11" s="65"/>
      <c r="I11" s="68">
        <f t="shared" si="0"/>
        <v>11</v>
      </c>
      <c r="J11" s="58" t="s">
        <v>259</v>
      </c>
      <c r="K11" s="55"/>
      <c r="M11" s="203"/>
      <c r="N11" s="203">
        <v>57253</v>
      </c>
    </row>
    <row r="12" spans="1:14" x14ac:dyDescent="0.25">
      <c r="A12" s="210" t="s">
        <v>560</v>
      </c>
      <c r="B12" s="52">
        <v>36.83</v>
      </c>
      <c r="C12" s="210" t="s">
        <v>9</v>
      </c>
      <c r="D12" s="60">
        <f>IF(ISBLANK(C12),"",VLOOKUP(C12,Bilan!$F$6:$G$25,2,FALSE))</f>
        <v>54210</v>
      </c>
      <c r="E12" s="65"/>
      <c r="F12" s="65"/>
      <c r="I12" s="68">
        <f t="shared" si="0"/>
        <v>12</v>
      </c>
      <c r="J12" s="58" t="s">
        <v>260</v>
      </c>
      <c r="K12" s="55"/>
      <c r="M12" s="203"/>
      <c r="N12" s="203">
        <v>57253</v>
      </c>
    </row>
    <row r="13" spans="1:14" x14ac:dyDescent="0.25">
      <c r="A13" s="210"/>
      <c r="B13" s="52"/>
      <c r="C13" s="210"/>
      <c r="D13" s="55" t="str">
        <f>IF(ISBLANK(C13),"",VLOOKUP(C13,Bilan!$F$6:$G$25,2,FALSE))</f>
        <v/>
      </c>
      <c r="E13" s="65"/>
      <c r="F13" s="65"/>
      <c r="I13" s="68">
        <f t="shared" si="0"/>
        <v>13</v>
      </c>
      <c r="J13" s="58" t="s">
        <v>249</v>
      </c>
      <c r="K13" s="55" t="str">
        <f>VLOOKUP(B2,Membres!A6:R200,8,FALSE)</f>
        <v>4796 rue Dagenais</v>
      </c>
      <c r="M13" s="203"/>
      <c r="N13" s="203"/>
    </row>
    <row r="14" spans="1:14" ht="15.75" thickBot="1" x14ac:dyDescent="0.3">
      <c r="A14" s="211"/>
      <c r="B14" s="190"/>
      <c r="C14" s="211"/>
      <c r="D14" s="191" t="str">
        <f>IF(ISBLANK(C14),"",VLOOKUP(C14,Bilan!$F$6:$G$25,2,FALSE))</f>
        <v/>
      </c>
      <c r="E14" s="192"/>
      <c r="F14" s="192"/>
      <c r="I14" s="68">
        <f t="shared" si="0"/>
        <v>14</v>
      </c>
      <c r="J14" s="58" t="s">
        <v>17</v>
      </c>
      <c r="K14" s="55" t="str">
        <f>VLOOKUP(B2,Membres!A6:R200,11,FALSE)</f>
        <v>France</v>
      </c>
      <c r="M14" s="203"/>
      <c r="N14" s="203"/>
    </row>
    <row r="15" spans="1:14" ht="15.75" thickTop="1" x14ac:dyDescent="0.25">
      <c r="A15" s="212"/>
      <c r="B15" s="53"/>
      <c r="C15" s="212"/>
      <c r="D15" s="56" t="str">
        <f>IF(ISBLANK(C15),"",VLOOKUP(C15,Bilan!$F$6:$G$25,2,FALSE))</f>
        <v/>
      </c>
      <c r="E15" s="66"/>
      <c r="F15" s="66"/>
      <c r="I15" s="68">
        <f t="shared" si="0"/>
        <v>15</v>
      </c>
      <c r="J15" s="58" t="s">
        <v>261</v>
      </c>
      <c r="K15" s="55" t="str">
        <f>VLOOKUP(B2,Membres!A6:R200,10,FALSE)</f>
        <v>H4C 1L7</v>
      </c>
      <c r="M15" s="203"/>
      <c r="N15" s="203"/>
    </row>
    <row r="16" spans="1:14" x14ac:dyDescent="0.25">
      <c r="A16" s="210"/>
      <c r="B16" s="52"/>
      <c r="C16" s="210"/>
      <c r="D16" s="55" t="str">
        <f>IF(ISBLANK(C16),"",VLOOKUP(C16,Bilan!$F$6:$G$25,2,FALSE))</f>
        <v/>
      </c>
      <c r="E16" s="65"/>
      <c r="F16" s="65"/>
      <c r="I16" s="68">
        <f t="shared" si="0"/>
        <v>16</v>
      </c>
      <c r="J16" s="58" t="s">
        <v>250</v>
      </c>
      <c r="K16" s="55" t="str">
        <f>VLOOKUP(B2,Membres!A6:R200,9,FALSE)</f>
        <v>France</v>
      </c>
      <c r="M16" s="203"/>
      <c r="N16" s="203"/>
    </row>
    <row r="17" spans="1:14" x14ac:dyDescent="0.25">
      <c r="A17" s="210"/>
      <c r="B17" s="52"/>
      <c r="C17" s="210"/>
      <c r="D17" s="55" t="str">
        <f>IF(ISBLANK(C17),"",VLOOKUP(C17,Bilan!$F$6:$G$25,2,FALSE))</f>
        <v/>
      </c>
      <c r="E17" s="65"/>
      <c r="F17" s="65"/>
      <c r="I17" s="68">
        <f t="shared" si="0"/>
        <v>17</v>
      </c>
      <c r="J17" s="58" t="s">
        <v>14</v>
      </c>
      <c r="K17" s="55" t="str">
        <f>VLOOKUP(B2,Membres!A6:R200,7,FALSE)</f>
        <v>jonathan.pierrat1@gmail.com</v>
      </c>
      <c r="M17" s="203"/>
      <c r="N17" s="203"/>
    </row>
    <row r="18" spans="1:14" x14ac:dyDescent="0.25">
      <c r="A18" s="210"/>
      <c r="B18" s="52"/>
      <c r="C18" s="210"/>
      <c r="D18" s="55" t="str">
        <f>IF(ISBLANK(C18),"",VLOOKUP(C18,Bilan!$F$6:$G$25,2,FALSE))</f>
        <v/>
      </c>
      <c r="E18" s="65"/>
      <c r="F18" s="65"/>
      <c r="G18" s="49"/>
      <c r="H18" s="49"/>
      <c r="I18" s="68">
        <f t="shared" si="0"/>
        <v>18</v>
      </c>
      <c r="J18" s="58" t="s">
        <v>262</v>
      </c>
      <c r="K18" s="59">
        <f>SUM(B7:B100)</f>
        <v>363.47999999999996</v>
      </c>
      <c r="M18" s="203"/>
      <c r="N18" s="203"/>
    </row>
    <row r="19" spans="1:14" x14ac:dyDescent="0.25">
      <c r="A19" s="210"/>
      <c r="B19" s="52"/>
      <c r="C19" s="210"/>
      <c r="D19" s="55" t="str">
        <f>IF(ISBLANK(C19),"",VLOOKUP(C19,Bilan!$F$6:$G$25,2,FALSE))</f>
        <v/>
      </c>
      <c r="E19" s="65"/>
      <c r="F19" s="65"/>
      <c r="I19" s="68">
        <f t="shared" si="0"/>
        <v>19</v>
      </c>
      <c r="J19" s="58" t="s">
        <v>263</v>
      </c>
      <c r="K19" s="59">
        <f>SUMIFS(B7:B58,D7:D58,K24)</f>
        <v>36.83</v>
      </c>
      <c r="M19" s="203"/>
      <c r="N19" s="203"/>
    </row>
    <row r="20" spans="1:14" x14ac:dyDescent="0.25">
      <c r="A20" s="210"/>
      <c r="B20" s="52"/>
      <c r="C20" s="210"/>
      <c r="D20" s="55" t="str">
        <f>IF(ISBLANK(C20),"",VLOOKUP(C20,Bilan!$F$6:$G$25,2,FALSE))</f>
        <v/>
      </c>
      <c r="E20" s="65"/>
      <c r="F20" s="65"/>
      <c r="I20" s="68">
        <f t="shared" si="0"/>
        <v>20</v>
      </c>
      <c r="J20" s="58" t="s">
        <v>264</v>
      </c>
      <c r="K20" s="59">
        <f>SUMIFS(B7:B58,D7:D58,K25)</f>
        <v>326.64999999999998</v>
      </c>
      <c r="M20" s="203"/>
      <c r="N20" s="203"/>
    </row>
    <row r="21" spans="1:14" x14ac:dyDescent="0.25">
      <c r="A21" s="210"/>
      <c r="B21" s="52"/>
      <c r="C21" s="210"/>
      <c r="D21" s="55" t="str">
        <f>IF(ISBLANK(C21),"",VLOOKUP(C21,Bilan!$F$6:$G$25,2,FALSE))</f>
        <v/>
      </c>
      <c r="E21" s="65"/>
      <c r="F21" s="65"/>
      <c r="I21" s="68">
        <f t="shared" si="0"/>
        <v>21</v>
      </c>
      <c r="J21" s="58" t="s">
        <v>265</v>
      </c>
      <c r="K21" s="59">
        <f>SUMIFS(B7:B58,D7:D58,K26)</f>
        <v>0</v>
      </c>
      <c r="M21" s="203"/>
      <c r="N21" s="203"/>
    </row>
    <row r="22" spans="1:14" x14ac:dyDescent="0.25">
      <c r="A22" s="210"/>
      <c r="B22" s="52"/>
      <c r="C22" s="210"/>
      <c r="D22" s="55" t="str">
        <f>IF(ISBLANK(C22),"",VLOOKUP(C22,Bilan!$F$6:$G$25,2,FALSE))</f>
        <v/>
      </c>
      <c r="E22" s="65"/>
      <c r="F22" s="65"/>
      <c r="I22" s="68">
        <f t="shared" si="0"/>
        <v>22</v>
      </c>
      <c r="J22" s="58" t="s">
        <v>266</v>
      </c>
      <c r="K22" s="59">
        <f>SUMIFS(B7:B58,D7:D58,K27)</f>
        <v>0</v>
      </c>
      <c r="M22" s="203"/>
      <c r="N22" s="203"/>
    </row>
    <row r="23" spans="1:14" x14ac:dyDescent="0.25">
      <c r="A23" s="210"/>
      <c r="B23" s="52"/>
      <c r="C23" s="210"/>
      <c r="D23" s="55" t="str">
        <f>IF(ISBLANK(C23),"",VLOOKUP(C23,Bilan!$F$6:$G$25,2,FALSE))</f>
        <v/>
      </c>
      <c r="E23" s="65"/>
      <c r="F23" s="65"/>
      <c r="I23" s="68">
        <f t="shared" si="0"/>
        <v>23</v>
      </c>
      <c r="J23" s="58" t="s">
        <v>267</v>
      </c>
      <c r="K23" s="59">
        <f>SUMIFS(B7:B58,D7:D58,K28)</f>
        <v>0</v>
      </c>
      <c r="M23" s="203"/>
      <c r="N23" s="203"/>
    </row>
    <row r="24" spans="1:14" x14ac:dyDescent="0.25">
      <c r="A24" s="210"/>
      <c r="B24" s="52"/>
      <c r="C24" s="210"/>
      <c r="D24" s="55" t="str">
        <f>IF(ISBLANK(C24),"",VLOOKUP(C24,Bilan!$F$6:$G$25,2,FALSE))</f>
        <v/>
      </c>
      <c r="E24" s="65"/>
      <c r="F24" s="65"/>
      <c r="I24" s="68">
        <f t="shared" si="0"/>
        <v>24</v>
      </c>
      <c r="J24" s="58" t="s">
        <v>268</v>
      </c>
      <c r="K24" s="55">
        <f>IF(ISERROR(VLOOKUP(1,M7:N58,2,FALSE))," ",VLOOKUP(1,M7:N58,2,FALSE))</f>
        <v>54210</v>
      </c>
      <c r="M24" s="203"/>
      <c r="N24" s="203"/>
    </row>
    <row r="25" spans="1:14" x14ac:dyDescent="0.25">
      <c r="A25" s="210"/>
      <c r="B25" s="52"/>
      <c r="C25" s="210"/>
      <c r="D25" s="55" t="str">
        <f>IF(ISBLANK(C25),"",VLOOKUP(C25,Bilan!$F$6:$G$25,2,FALSE))</f>
        <v/>
      </c>
      <c r="E25" s="65"/>
      <c r="F25" s="65"/>
      <c r="I25" s="68">
        <f t="shared" si="0"/>
        <v>25</v>
      </c>
      <c r="J25" s="58" t="s">
        <v>269</v>
      </c>
      <c r="K25" s="55">
        <f>IF(ISERROR(VLOOKUP(2,M7:N58,2,FALSE))," ",VLOOKUP(2,M7:N58,2,FALSE))</f>
        <v>57253</v>
      </c>
      <c r="M25" s="203"/>
      <c r="N25" s="203"/>
    </row>
    <row r="26" spans="1:14" x14ac:dyDescent="0.25">
      <c r="A26" s="210"/>
      <c r="B26" s="52"/>
      <c r="C26" s="210"/>
      <c r="D26" s="55" t="str">
        <f>IF(ISBLANK(C26),"",VLOOKUP(C26,Bilan!$F$6:$G$25,2,FALSE))</f>
        <v/>
      </c>
      <c r="E26" s="65"/>
      <c r="F26" s="65"/>
      <c r="I26" s="68">
        <f t="shared" si="0"/>
        <v>26</v>
      </c>
      <c r="J26" s="58" t="s">
        <v>270</v>
      </c>
      <c r="K26" s="55" t="str">
        <f>IF(ISERROR(VLOOKUP(3,M7:N58,2,FALSE))," ",VLOOKUP(3,M7:N58,2,FALSE))</f>
        <v xml:space="preserve"> </v>
      </c>
      <c r="M26" s="203"/>
      <c r="N26" s="203"/>
    </row>
    <row r="27" spans="1:14" x14ac:dyDescent="0.25">
      <c r="A27" s="210"/>
      <c r="B27" s="52"/>
      <c r="C27" s="210"/>
      <c r="D27" s="55" t="str">
        <f>IF(ISBLANK(C27),"",VLOOKUP(C27,Bilan!$F$6:$G$25,2,FALSE))</f>
        <v/>
      </c>
      <c r="E27" s="65"/>
      <c r="F27" s="65"/>
      <c r="I27" s="68">
        <f t="shared" si="0"/>
        <v>27</v>
      </c>
      <c r="J27" s="58" t="s">
        <v>271</v>
      </c>
      <c r="K27" s="55" t="str">
        <f>IF(ISERROR(VLOOKUP(4,M7:N58,2,FALSE))," ",VLOOKUP(4,M7:N58,2,FALSE))</f>
        <v xml:space="preserve"> </v>
      </c>
      <c r="M27" s="203"/>
      <c r="N27" s="203"/>
    </row>
    <row r="28" spans="1:14" x14ac:dyDescent="0.25">
      <c r="A28" s="210"/>
      <c r="B28" s="52"/>
      <c r="C28" s="210"/>
      <c r="D28" s="55" t="str">
        <f>IF(ISBLANK(C28),"",VLOOKUP(C28,Bilan!$F$6:$G$25,2,FALSE))</f>
        <v/>
      </c>
      <c r="E28" s="65"/>
      <c r="F28" s="65"/>
      <c r="I28" s="68">
        <f t="shared" si="0"/>
        <v>28</v>
      </c>
      <c r="J28" s="58" t="s">
        <v>272</v>
      </c>
      <c r="K28" s="55" t="str">
        <f>IF(ISERROR(VLOOKUP(5,M7:N58,2,FALSE))," ",VLOOKUP(5,M7:N58,2,FALSE))</f>
        <v xml:space="preserve"> </v>
      </c>
      <c r="M28" s="203"/>
      <c r="N28" s="203"/>
    </row>
    <row r="29" spans="1:14" x14ac:dyDescent="0.25">
      <c r="A29" s="210"/>
      <c r="B29" s="52"/>
      <c r="C29" s="210"/>
      <c r="D29" s="55" t="str">
        <f>IF(ISBLANK(C29),"",VLOOKUP(C29,Bilan!$F$6:$G$25,2,FALSE))</f>
        <v/>
      </c>
      <c r="E29" s="65"/>
      <c r="F29" s="65"/>
      <c r="I29" s="68">
        <f t="shared" si="0"/>
        <v>29</v>
      </c>
      <c r="J29" s="58" t="s">
        <v>19</v>
      </c>
      <c r="K29" s="55">
        <v>300050</v>
      </c>
      <c r="M29" s="203"/>
      <c r="N29" s="203"/>
    </row>
    <row r="30" spans="1:14" x14ac:dyDescent="0.25">
      <c r="A30" s="210"/>
      <c r="B30" s="52"/>
      <c r="C30" s="210"/>
      <c r="D30" s="55" t="str">
        <f>IF(ISBLANK(C30),"",VLOOKUP(C30,Bilan!$F$6:$G$25,2,FALSE))</f>
        <v/>
      </c>
      <c r="E30" s="65"/>
      <c r="F30" s="65"/>
      <c r="I30" s="68">
        <f t="shared" si="0"/>
        <v>30</v>
      </c>
      <c r="J30" s="58" t="s">
        <v>275</v>
      </c>
      <c r="K30" s="55" t="s">
        <v>483</v>
      </c>
      <c r="M30" s="203"/>
      <c r="N30" s="203"/>
    </row>
    <row r="31" spans="1:14" x14ac:dyDescent="0.25">
      <c r="A31" s="210"/>
      <c r="B31" s="48"/>
      <c r="C31" s="210"/>
      <c r="D31" s="58" t="str">
        <f>IF(ISBLANK(C31),"",VLOOKUP(C31,Bilan!$F$6:$G$25,2,FALSE))</f>
        <v/>
      </c>
      <c r="E31" s="65"/>
      <c r="F31" s="65"/>
      <c r="I31" s="68">
        <f t="shared" si="0"/>
        <v>31</v>
      </c>
      <c r="J31" s="58" t="s">
        <v>276</v>
      </c>
      <c r="K31" s="55">
        <f>IF(ISBLANK(A15),0,1)</f>
        <v>0</v>
      </c>
      <c r="M31" s="203"/>
      <c r="N31" s="203"/>
    </row>
    <row r="32" spans="1:14" x14ac:dyDescent="0.25">
      <c r="A32" s="210"/>
      <c r="B32" s="48"/>
      <c r="C32" s="210"/>
      <c r="D32" s="58" t="str">
        <f>IF(ISBLANK(C32),"",VLOOKUP(C32,Bilan!$F$6:$G$25,2,FALSE))</f>
        <v/>
      </c>
      <c r="E32" s="65"/>
      <c r="F32" s="65"/>
      <c r="M32" s="203"/>
      <c r="N32" s="203"/>
    </row>
    <row r="33" spans="1:14" x14ac:dyDescent="0.25">
      <c r="A33" s="210"/>
      <c r="B33" s="48"/>
      <c r="C33" s="210"/>
      <c r="D33" s="58" t="str">
        <f>IF(ISBLANK(C33),"",VLOOKUP(C33,Bilan!$F$6:$G$25,2,FALSE))</f>
        <v/>
      </c>
      <c r="E33" s="65"/>
      <c r="F33" s="65"/>
      <c r="M33" s="203"/>
      <c r="N33" s="203"/>
    </row>
    <row r="34" spans="1:14" x14ac:dyDescent="0.25">
      <c r="A34" s="210"/>
      <c r="B34" s="48"/>
      <c r="C34" s="210"/>
      <c r="D34" s="58" t="str">
        <f>IF(ISBLANK(C34),"",VLOOKUP(C34,Bilan!$F$6:$G$25,2,FALSE))</f>
        <v/>
      </c>
      <c r="E34" s="65"/>
      <c r="F34" s="65"/>
      <c r="M34" s="203"/>
      <c r="N34" s="203"/>
    </row>
    <row r="35" spans="1:14" x14ac:dyDescent="0.25">
      <c r="A35" s="210"/>
      <c r="B35" s="48"/>
      <c r="C35" s="210"/>
      <c r="D35" s="58" t="str">
        <f>IF(ISBLANK(C35),"",VLOOKUP(C35,Bilan!$F$6:$G$25,2,FALSE))</f>
        <v/>
      </c>
      <c r="E35" s="65"/>
      <c r="F35" s="65"/>
      <c r="M35" s="203"/>
      <c r="N35" s="203"/>
    </row>
    <row r="36" spans="1:14" x14ac:dyDescent="0.25">
      <c r="A36" s="210"/>
      <c r="B36" s="48"/>
      <c r="C36" s="210"/>
      <c r="D36" s="58" t="str">
        <f>IF(ISBLANK(C36),"",VLOOKUP(C36,Bilan!$F$6:$G$25,2,FALSE))</f>
        <v/>
      </c>
      <c r="E36" s="65"/>
      <c r="F36" s="65"/>
      <c r="M36" s="203"/>
      <c r="N36" s="203"/>
    </row>
    <row r="37" spans="1:14" x14ac:dyDescent="0.25">
      <c r="A37" s="210"/>
      <c r="B37" s="48"/>
      <c r="C37" s="210"/>
      <c r="D37" s="58" t="str">
        <f>IF(ISBLANK(C37),"",VLOOKUP(C37,Bilan!$F$6:$G$25,2,FALSE))</f>
        <v/>
      </c>
      <c r="E37" s="65"/>
      <c r="F37" s="65"/>
      <c r="M37" s="203"/>
      <c r="N37" s="203"/>
    </row>
    <row r="38" spans="1:14" x14ac:dyDescent="0.25">
      <c r="A38" s="210"/>
      <c r="B38" s="48"/>
      <c r="C38" s="210"/>
      <c r="D38" s="58" t="str">
        <f>IF(ISBLANK(C38),"",VLOOKUP(C38,Bilan!$F$6:$G$25,2,FALSE))</f>
        <v/>
      </c>
      <c r="E38" s="65"/>
      <c r="F38" s="65"/>
      <c r="M38" s="203"/>
      <c r="N38" s="203"/>
    </row>
    <row r="39" spans="1:14" x14ac:dyDescent="0.25">
      <c r="A39" s="210"/>
      <c r="B39" s="48"/>
      <c r="C39" s="210"/>
      <c r="D39" s="58" t="str">
        <f>IF(ISBLANK(C39),"",VLOOKUP(C39,Bilan!$F$6:$G$25,2,FALSE))</f>
        <v/>
      </c>
      <c r="E39" s="65"/>
      <c r="F39" s="65"/>
      <c r="M39" s="203"/>
      <c r="N39" s="203"/>
    </row>
    <row r="40" spans="1:14" x14ac:dyDescent="0.25">
      <c r="A40" s="210"/>
      <c r="B40" s="48"/>
      <c r="C40" s="210"/>
      <c r="D40" s="58" t="str">
        <f>IF(ISBLANK(C40),"",VLOOKUP(C40,Bilan!$F$6:$G$25,2,FALSE))</f>
        <v/>
      </c>
      <c r="E40" s="65"/>
      <c r="F40" s="65"/>
      <c r="M40" s="203"/>
      <c r="N40" s="203"/>
    </row>
    <row r="41" spans="1:14" x14ac:dyDescent="0.25">
      <c r="A41" s="210"/>
      <c r="B41" s="48"/>
      <c r="C41" s="210"/>
      <c r="D41" s="58" t="str">
        <f>IF(ISBLANK(C41),"",VLOOKUP(C41,Bilan!$F$6:$G$25,2,FALSE))</f>
        <v/>
      </c>
      <c r="E41" s="65"/>
      <c r="F41" s="65"/>
      <c r="M41" s="203"/>
      <c r="N41" s="203"/>
    </row>
    <row r="42" spans="1:14" x14ac:dyDescent="0.25">
      <c r="A42" s="210"/>
      <c r="B42" s="48"/>
      <c r="C42" s="210"/>
      <c r="D42" s="58" t="str">
        <f>IF(ISBLANK(C42),"",VLOOKUP(C42,Bilan!$F$6:$G$25,2,FALSE))</f>
        <v/>
      </c>
      <c r="E42" s="65"/>
      <c r="F42" s="65"/>
      <c r="M42" s="203"/>
      <c r="N42" s="203"/>
    </row>
    <row r="43" spans="1:14" x14ac:dyDescent="0.25">
      <c r="A43" s="210"/>
      <c r="B43" s="48"/>
      <c r="C43" s="210"/>
      <c r="D43" s="58" t="str">
        <f>IF(ISBLANK(C43),"",VLOOKUP(C43,Bilan!$F$6:$G$25,2,FALSE))</f>
        <v/>
      </c>
      <c r="E43" s="65"/>
      <c r="F43" s="65"/>
      <c r="M43" s="203"/>
      <c r="N43" s="203"/>
    </row>
    <row r="44" spans="1:14" x14ac:dyDescent="0.25">
      <c r="A44" s="210"/>
      <c r="B44" s="48"/>
      <c r="C44" s="210"/>
      <c r="D44" s="58" t="str">
        <f>IF(ISBLANK(C44),"",VLOOKUP(C44,Bilan!$F$6:$G$25,2,FALSE))</f>
        <v/>
      </c>
      <c r="E44" s="65"/>
      <c r="F44" s="65"/>
      <c r="M44" s="203"/>
      <c r="N44" s="203"/>
    </row>
    <row r="45" spans="1:14" x14ac:dyDescent="0.25">
      <c r="A45" s="210"/>
      <c r="B45" s="48"/>
      <c r="C45" s="210"/>
      <c r="D45" s="58" t="str">
        <f>IF(ISBLANK(C45),"",VLOOKUP(C45,Bilan!$F$6:$G$25,2,FALSE))</f>
        <v/>
      </c>
      <c r="E45" s="65"/>
      <c r="F45" s="65"/>
      <c r="M45" s="203"/>
      <c r="N45" s="203"/>
    </row>
    <row r="46" spans="1:14" x14ac:dyDescent="0.25">
      <c r="A46" s="210"/>
      <c r="B46" s="48"/>
      <c r="C46" s="210"/>
      <c r="D46" s="58" t="str">
        <f>IF(ISBLANK(C46),"",VLOOKUP(C46,Bilan!$F$6:$G$25,2,FALSE))</f>
        <v/>
      </c>
      <c r="E46" s="65"/>
      <c r="F46" s="65"/>
      <c r="M46" s="203"/>
      <c r="N46" s="203"/>
    </row>
    <row r="47" spans="1:14" x14ac:dyDescent="0.25">
      <c r="A47" s="210"/>
      <c r="B47" s="48"/>
      <c r="C47" s="210"/>
      <c r="D47" s="58" t="str">
        <f>IF(ISBLANK(C47),"",VLOOKUP(C47,Bilan!$F$6:$G$25,2,FALSE))</f>
        <v/>
      </c>
      <c r="E47" s="65"/>
      <c r="F47" s="65"/>
      <c r="M47" s="203"/>
      <c r="N47" s="203"/>
    </row>
    <row r="48" spans="1:14" x14ac:dyDescent="0.25">
      <c r="A48" s="210"/>
      <c r="B48" s="48"/>
      <c r="C48" s="210"/>
      <c r="D48" s="58" t="str">
        <f>IF(ISBLANK(C48),"",VLOOKUP(C48,Bilan!$F$6:$G$25,2,FALSE))</f>
        <v/>
      </c>
      <c r="E48" s="65"/>
      <c r="F48" s="65"/>
      <c r="M48" s="203"/>
      <c r="N48" s="203"/>
    </row>
    <row r="49" spans="1:14" x14ac:dyDescent="0.25">
      <c r="A49" s="210"/>
      <c r="B49" s="48"/>
      <c r="C49" s="210"/>
      <c r="D49" s="58" t="str">
        <f>IF(ISBLANK(C49),"",VLOOKUP(C49,Bilan!$F$6:$G$25,2,FALSE))</f>
        <v/>
      </c>
      <c r="E49" s="65"/>
      <c r="F49" s="65"/>
      <c r="M49" s="203"/>
      <c r="N49" s="203"/>
    </row>
    <row r="50" spans="1:14" x14ac:dyDescent="0.25">
      <c r="A50" s="210"/>
      <c r="B50" s="48"/>
      <c r="C50" s="210"/>
      <c r="D50" s="58" t="str">
        <f>IF(ISBLANK(C50),"",VLOOKUP(C50,Bilan!$F$6:$G$25,2,FALSE))</f>
        <v/>
      </c>
      <c r="E50" s="65"/>
      <c r="F50" s="65"/>
      <c r="M50" s="203"/>
      <c r="N50" s="203"/>
    </row>
    <row r="51" spans="1:14" x14ac:dyDescent="0.25">
      <c r="A51" s="210"/>
      <c r="B51" s="48"/>
      <c r="C51" s="210"/>
      <c r="D51" s="58" t="str">
        <f>IF(ISBLANK(C51),"",VLOOKUP(C51,Bilan!$F$6:$G$25,2,FALSE))</f>
        <v/>
      </c>
      <c r="E51" s="65"/>
      <c r="F51" s="65"/>
      <c r="M51" s="203"/>
      <c r="N51" s="203"/>
    </row>
    <row r="52" spans="1:14" x14ac:dyDescent="0.25">
      <c r="A52" s="210"/>
      <c r="B52" s="48"/>
      <c r="C52" s="210"/>
      <c r="D52" s="58" t="str">
        <f>IF(ISBLANK(C52),"",VLOOKUP(C52,Bilan!$F$6:$G$25,2,FALSE))</f>
        <v/>
      </c>
      <c r="E52" s="65"/>
      <c r="F52" s="65"/>
      <c r="M52" s="203"/>
      <c r="N52" s="203"/>
    </row>
    <row r="53" spans="1:14" x14ac:dyDescent="0.25">
      <c r="A53" s="210"/>
      <c r="B53" s="48"/>
      <c r="C53" s="210"/>
      <c r="D53" s="58" t="str">
        <f>IF(ISBLANK(C53),"",VLOOKUP(C53,Bilan!$F$6:$G$25,2,FALSE))</f>
        <v/>
      </c>
      <c r="E53" s="65"/>
      <c r="F53" s="65"/>
      <c r="M53" s="203"/>
      <c r="N53" s="203"/>
    </row>
    <row r="54" spans="1:14" x14ac:dyDescent="0.25">
      <c r="A54" s="210"/>
      <c r="B54" s="48"/>
      <c r="C54" s="210"/>
      <c r="D54" s="58" t="str">
        <f>IF(ISBLANK(C54),"",VLOOKUP(C54,Bilan!$F$6:$G$25,2,FALSE))</f>
        <v/>
      </c>
      <c r="E54" s="65"/>
      <c r="F54" s="65"/>
      <c r="M54" s="203"/>
      <c r="N54" s="203"/>
    </row>
    <row r="55" spans="1:14" x14ac:dyDescent="0.25">
      <c r="A55" s="210"/>
      <c r="B55" s="48"/>
      <c r="C55" s="210"/>
      <c r="D55" s="58" t="str">
        <f>IF(ISBLANK(C55),"",VLOOKUP(C55,Bilan!$F$6:$G$25,2,FALSE))</f>
        <v/>
      </c>
      <c r="E55" s="65"/>
      <c r="F55" s="65"/>
      <c r="M55" s="203"/>
      <c r="N55" s="203"/>
    </row>
    <row r="56" spans="1:14" x14ac:dyDescent="0.25">
      <c r="A56" s="210"/>
      <c r="B56" s="48"/>
      <c r="C56" s="210"/>
      <c r="D56" s="58" t="str">
        <f>IF(ISBLANK(C56),"",VLOOKUP(C56,Bilan!$F$6:$G$25,2,FALSE))</f>
        <v/>
      </c>
      <c r="E56" s="65"/>
      <c r="F56" s="65"/>
      <c r="M56" s="203"/>
      <c r="N56" s="203"/>
    </row>
    <row r="57" spans="1:14" x14ac:dyDescent="0.25">
      <c r="M57" s="203"/>
      <c r="N57" s="203"/>
    </row>
    <row r="58" spans="1:14" x14ac:dyDescent="0.25">
      <c r="M58" s="203"/>
      <c r="N58" s="203"/>
    </row>
  </sheetData>
  <sheetProtection password="C736" sheet="1" objects="1" scenarios="1"/>
  <sortState ref="N7:N12">
    <sortCondition ref="N7"/>
  </sortState>
  <conditionalFormatting sqref="B2:B4">
    <cfRule type="expression" dxfId="5" priority="3">
      <formula>LEN(TRIM(B2:B4))=0</formula>
    </cfRule>
  </conditionalFormatting>
  <conditionalFormatting sqref="A7:C7">
    <cfRule type="expression" dxfId="4" priority="2">
      <formula>LEN(TRIM(A7:C7))=0</formula>
    </cfRule>
  </conditionalFormatting>
  <conditionalFormatting sqref="E7:F7">
    <cfRule type="expression" dxfId="3" priority="1">
      <formula>LEN(TRIM(E7:F7))=0</formula>
    </cfRule>
  </conditionalFormatting>
  <dataValidations count="2">
    <dataValidation type="list" allowBlank="1" showInputMessage="1" showErrorMessage="1" sqref="F7:F56">
      <formula1>INDIRECT(E7)</formula1>
    </dataValidation>
    <dataValidation type="list" allowBlank="1" showInputMessage="1" showErrorMessage="1" sqref="E7:E56">
      <formula1>groupe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Membres!$A$6:$A$41</xm:f>
          </x14:formula1>
          <xm:sqref>B2</xm:sqref>
        </x14:dataValidation>
        <x14:dataValidation type="list" allowBlank="1" showInputMessage="1" showErrorMessage="1">
          <x14:formula1>
            <xm:f>Bilan!$F$6:$F$19</xm:f>
          </x14:formula1>
          <xm:sqref>C7:C14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/>
  <dimension ref="A1:N58"/>
  <sheetViews>
    <sheetView workbookViewId="0">
      <selection activeCell="H10" sqref="H10"/>
    </sheetView>
  </sheetViews>
  <sheetFormatPr baseColWidth="10" defaultRowHeight="15" x14ac:dyDescent="0.25"/>
  <cols>
    <col min="1" max="1" width="22.85546875" style="226" customWidth="1"/>
    <col min="2" max="2" width="16.85546875" style="226" bestFit="1" customWidth="1"/>
    <col min="3" max="3" width="19.140625" style="226" customWidth="1"/>
    <col min="4" max="4" width="7.7109375" style="226" bestFit="1" customWidth="1"/>
    <col min="5" max="5" width="23" style="226" customWidth="1"/>
    <col min="6" max="6" width="23.5703125" style="226" customWidth="1"/>
    <col min="7" max="7" width="22.42578125" style="226" bestFit="1" customWidth="1"/>
    <col min="8" max="8" width="17.85546875" style="226" customWidth="1"/>
    <col min="9" max="9" width="2.85546875" style="226" customWidth="1"/>
    <col min="10" max="10" width="24.42578125" style="226" bestFit="1" customWidth="1"/>
    <col min="11" max="11" width="11.42578125" style="226"/>
  </cols>
  <sheetData>
    <row r="1" spans="1:14" x14ac:dyDescent="0.25">
      <c r="A1" s="161" t="s">
        <v>274</v>
      </c>
      <c r="B1" s="55" t="s">
        <v>561</v>
      </c>
      <c r="I1" s="68">
        <v>1</v>
      </c>
      <c r="J1" s="58" t="s">
        <v>251</v>
      </c>
      <c r="K1" s="55" t="str">
        <f>VLOOKUP(B2,Membres!A6:R200,3,FALSE)</f>
        <v>Jérémy</v>
      </c>
    </row>
    <row r="2" spans="1:14" x14ac:dyDescent="0.25">
      <c r="A2" s="161" t="s">
        <v>244</v>
      </c>
      <c r="B2" s="210" t="s">
        <v>502</v>
      </c>
      <c r="I2" s="68">
        <f t="shared" ref="I2:I31" si="0">I1+1</f>
        <v>2</v>
      </c>
      <c r="J2" s="58" t="s">
        <v>248</v>
      </c>
      <c r="K2" s="55" t="str">
        <f>VLOOKUP(B2,Membres!A6:R200,2,FALSE)</f>
        <v>Marsolais</v>
      </c>
    </row>
    <row r="3" spans="1:14" x14ac:dyDescent="0.25">
      <c r="A3" s="161" t="s">
        <v>13</v>
      </c>
      <c r="B3" s="210" t="s">
        <v>562</v>
      </c>
      <c r="I3" s="68">
        <f t="shared" si="0"/>
        <v>3</v>
      </c>
      <c r="J3" s="58" t="s">
        <v>252</v>
      </c>
      <c r="K3" s="55" t="s">
        <v>484</v>
      </c>
    </row>
    <row r="4" spans="1:14" x14ac:dyDescent="0.25">
      <c r="A4" s="161" t="s">
        <v>257</v>
      </c>
      <c r="B4" s="52">
        <v>0</v>
      </c>
      <c r="I4" s="68">
        <f t="shared" si="0"/>
        <v>4</v>
      </c>
      <c r="J4" s="58" t="s">
        <v>253</v>
      </c>
      <c r="K4" s="55" t="str">
        <f>VLOOKUP(B2,Membres!A6:R200,4,FALSE)</f>
        <v>MARJ12029407</v>
      </c>
    </row>
    <row r="5" spans="1:14" x14ac:dyDescent="0.25">
      <c r="I5" s="68">
        <f t="shared" si="0"/>
        <v>5</v>
      </c>
      <c r="J5" s="58" t="s">
        <v>16</v>
      </c>
      <c r="K5" s="57">
        <v>42649</v>
      </c>
    </row>
    <row r="6" spans="1:14" x14ac:dyDescent="0.25">
      <c r="A6" s="162" t="s">
        <v>480</v>
      </c>
      <c r="B6" s="162" t="s">
        <v>481</v>
      </c>
      <c r="C6" s="162" t="s">
        <v>278</v>
      </c>
      <c r="D6" s="162" t="s">
        <v>479</v>
      </c>
      <c r="E6" s="162" t="s">
        <v>353</v>
      </c>
      <c r="F6" s="162" t="s">
        <v>354</v>
      </c>
      <c r="H6" s="227"/>
      <c r="I6" s="68">
        <f t="shared" si="0"/>
        <v>6</v>
      </c>
      <c r="J6" s="58" t="s">
        <v>277</v>
      </c>
      <c r="K6" s="55" t="str">
        <f>VLOOKUP(B2,Membres!A6:R200,6,FALSE)</f>
        <v>450-750-8178</v>
      </c>
    </row>
    <row r="7" spans="1:14" x14ac:dyDescent="0.25">
      <c r="A7" s="209" t="s">
        <v>563</v>
      </c>
      <c r="B7" s="164">
        <v>216.15</v>
      </c>
      <c r="C7" s="210" t="s">
        <v>10</v>
      </c>
      <c r="D7" s="60">
        <f>IF(ISBLANK(C7),"",VLOOKUP(C7,Bilan!$F$6:$G$25,2,FALSE))</f>
        <v>57253</v>
      </c>
      <c r="E7" s="65"/>
      <c r="F7" s="65"/>
      <c r="H7" s="227"/>
      <c r="I7" s="68">
        <f t="shared" si="0"/>
        <v>7</v>
      </c>
      <c r="J7" s="58" t="s">
        <v>254</v>
      </c>
      <c r="K7" s="55" t="s">
        <v>155</v>
      </c>
      <c r="M7" s="203">
        <f>1</f>
        <v>1</v>
      </c>
      <c r="N7" s="203">
        <v>54210</v>
      </c>
    </row>
    <row r="8" spans="1:14" x14ac:dyDescent="0.25">
      <c r="A8" s="209" t="s">
        <v>564</v>
      </c>
      <c r="B8" s="164">
        <v>63.23</v>
      </c>
      <c r="C8" s="210" t="s">
        <v>9</v>
      </c>
      <c r="D8" s="60">
        <f>IF(ISBLANK(C8),"",VLOOKUP(C8,Bilan!$F$6:$G$25,2,FALSE))</f>
        <v>54210</v>
      </c>
      <c r="E8" s="65"/>
      <c r="F8" s="65"/>
      <c r="H8" s="227"/>
      <c r="I8" s="68">
        <f t="shared" si="0"/>
        <v>8</v>
      </c>
      <c r="J8" s="58" t="s">
        <v>255</v>
      </c>
      <c r="K8" s="55" t="s">
        <v>485</v>
      </c>
      <c r="M8" s="203">
        <f>IF(N8=N7,M7,M7+1)</f>
        <v>2</v>
      </c>
      <c r="N8" s="203">
        <v>57253</v>
      </c>
    </row>
    <row r="9" spans="1:14" x14ac:dyDescent="0.25">
      <c r="A9" s="210" t="s">
        <v>565</v>
      </c>
      <c r="B9" s="52">
        <v>239.73</v>
      </c>
      <c r="C9" s="210" t="s">
        <v>10</v>
      </c>
      <c r="D9" s="60">
        <f>IF(ISBLANK(C9),"",VLOOKUP(C9,Bilan!$F$6:$G$25,2,FALSE))</f>
        <v>57253</v>
      </c>
      <c r="E9" s="65"/>
      <c r="F9" s="65"/>
      <c r="I9" s="68">
        <f t="shared" si="0"/>
        <v>9</v>
      </c>
      <c r="J9" s="58" t="s">
        <v>256</v>
      </c>
      <c r="K9" s="193">
        <f>K18-B4</f>
        <v>618.62</v>
      </c>
      <c r="M9" s="203"/>
      <c r="N9" s="203">
        <v>57253</v>
      </c>
    </row>
    <row r="10" spans="1:14" x14ac:dyDescent="0.25">
      <c r="A10" s="210" t="s">
        <v>566</v>
      </c>
      <c r="B10" s="52">
        <v>19.04</v>
      </c>
      <c r="C10" s="210" t="s">
        <v>10</v>
      </c>
      <c r="D10" s="60">
        <f>IF(ISBLANK(C10),"",VLOOKUP(C10,Bilan!$F$6:$G$25,2,FALSE))</f>
        <v>57253</v>
      </c>
      <c r="E10" s="65"/>
      <c r="F10" s="65"/>
      <c r="I10" s="68">
        <f t="shared" si="0"/>
        <v>10</v>
      </c>
      <c r="J10" s="58" t="s">
        <v>258</v>
      </c>
      <c r="K10" s="55" t="str">
        <f>B2</f>
        <v>Jérémy Marsolais</v>
      </c>
      <c r="M10" s="203"/>
      <c r="N10" s="203">
        <v>57253</v>
      </c>
    </row>
    <row r="11" spans="1:14" x14ac:dyDescent="0.25">
      <c r="A11" s="210" t="s">
        <v>567</v>
      </c>
      <c r="B11" s="52">
        <v>80.47</v>
      </c>
      <c r="C11" s="210" t="s">
        <v>10</v>
      </c>
      <c r="D11" s="60">
        <f>IF(ISBLANK(C11),"",VLOOKUP(C11,Bilan!$F$6:$G$25,2,FALSE))</f>
        <v>57253</v>
      </c>
      <c r="E11" s="65"/>
      <c r="F11" s="65"/>
      <c r="I11" s="68">
        <f t="shared" si="0"/>
        <v>11</v>
      </c>
      <c r="J11" s="58" t="s">
        <v>259</v>
      </c>
      <c r="K11" s="55"/>
      <c r="M11" s="203"/>
      <c r="N11" s="203">
        <v>57253</v>
      </c>
    </row>
    <row r="12" spans="1:14" x14ac:dyDescent="0.25">
      <c r="A12" s="210"/>
      <c r="B12" s="52"/>
      <c r="C12" s="210"/>
      <c r="D12" s="60" t="str">
        <f>IF(ISBLANK(C12),"",VLOOKUP(C12,Bilan!$F$6:$G$25,2,FALSE))</f>
        <v/>
      </c>
      <c r="E12" s="65"/>
      <c r="F12" s="65"/>
      <c r="I12" s="68">
        <f t="shared" si="0"/>
        <v>12</v>
      </c>
      <c r="J12" s="58" t="s">
        <v>260</v>
      </c>
      <c r="K12" s="55"/>
      <c r="M12" s="203"/>
      <c r="N12" s="203"/>
    </row>
    <row r="13" spans="1:14" x14ac:dyDescent="0.25">
      <c r="A13" s="210"/>
      <c r="B13" s="52"/>
      <c r="C13" s="210"/>
      <c r="D13" s="55" t="str">
        <f>IF(ISBLANK(C13),"",VLOOKUP(C13,Bilan!$F$6:$G$25,2,FALSE))</f>
        <v/>
      </c>
      <c r="E13" s="65"/>
      <c r="F13" s="65"/>
      <c r="I13" s="68">
        <f t="shared" si="0"/>
        <v>13</v>
      </c>
      <c r="J13" s="58" t="s">
        <v>249</v>
      </c>
      <c r="K13" s="55" t="str">
        <f>VLOOKUP(B2,Membres!A6:R200,8,FALSE)</f>
        <v>47 cote st louis</v>
      </c>
      <c r="M13" s="203"/>
      <c r="N13" s="203"/>
    </row>
    <row r="14" spans="1:14" ht="15.75" thickBot="1" x14ac:dyDescent="0.3">
      <c r="A14" s="211"/>
      <c r="B14" s="190"/>
      <c r="C14" s="211"/>
      <c r="D14" s="191" t="str">
        <f>IF(ISBLANK(C14),"",VLOOKUP(C14,Bilan!$F$6:$G$25,2,FALSE))</f>
        <v/>
      </c>
      <c r="E14" s="192"/>
      <c r="F14" s="192"/>
      <c r="I14" s="68">
        <f t="shared" si="0"/>
        <v>14</v>
      </c>
      <c r="J14" s="58" t="s">
        <v>17</v>
      </c>
      <c r="K14" s="55" t="str">
        <f>VLOOKUP(B2,Membres!A6:R200,11,FALSE)</f>
        <v>Qc</v>
      </c>
      <c r="M14" s="203"/>
      <c r="N14" s="203"/>
    </row>
    <row r="15" spans="1:14" ht="15.75" thickTop="1" x14ac:dyDescent="0.25">
      <c r="A15" s="212"/>
      <c r="B15" s="53"/>
      <c r="C15" s="212"/>
      <c r="D15" s="56" t="str">
        <f>IF(ISBLANK(C15),"",VLOOKUP(C15,Bilan!$F$6:$G$25,2,FALSE))</f>
        <v/>
      </c>
      <c r="E15" s="66"/>
      <c r="F15" s="66"/>
      <c r="I15" s="68">
        <f t="shared" si="0"/>
        <v>15</v>
      </c>
      <c r="J15" s="58" t="s">
        <v>261</v>
      </c>
      <c r="K15" s="55" t="str">
        <f>VLOOKUP(B2,Membres!A6:R200,10,FALSE)</f>
        <v>J0K 2L0</v>
      </c>
      <c r="M15" s="203"/>
      <c r="N15" s="203"/>
    </row>
    <row r="16" spans="1:14" x14ac:dyDescent="0.25">
      <c r="A16" s="210"/>
      <c r="B16" s="52"/>
      <c r="C16" s="210"/>
      <c r="D16" s="55" t="str">
        <f>IF(ISBLANK(C16),"",VLOOKUP(C16,Bilan!$F$6:$G$25,2,FALSE))</f>
        <v/>
      </c>
      <c r="E16" s="65"/>
      <c r="F16" s="65"/>
      <c r="I16" s="68">
        <f t="shared" si="0"/>
        <v>16</v>
      </c>
      <c r="J16" s="58" t="s">
        <v>250</v>
      </c>
      <c r="K16" s="55" t="str">
        <f>VLOOKUP(B2,Membres!A6:R200,9,FALSE)</f>
        <v>St-Esprit (Lanaudière)</v>
      </c>
      <c r="M16" s="203"/>
      <c r="N16" s="203"/>
    </row>
    <row r="17" spans="1:14" x14ac:dyDescent="0.25">
      <c r="A17" s="210"/>
      <c r="B17" s="52"/>
      <c r="C17" s="210"/>
      <c r="D17" s="55" t="str">
        <f>IF(ISBLANK(C17),"",VLOOKUP(C17,Bilan!$F$6:$G$25,2,FALSE))</f>
        <v/>
      </c>
      <c r="E17" s="65"/>
      <c r="F17" s="65"/>
      <c r="I17" s="68">
        <f t="shared" si="0"/>
        <v>17</v>
      </c>
      <c r="J17" s="58" t="s">
        <v>14</v>
      </c>
      <c r="K17" s="55" t="str">
        <f>VLOOKUP(B2,Membres!A6:R200,7,FALSE)</f>
        <v>marsolais32@gmail.com</v>
      </c>
      <c r="M17" s="203"/>
      <c r="N17" s="203"/>
    </row>
    <row r="18" spans="1:14" x14ac:dyDescent="0.25">
      <c r="A18" s="210"/>
      <c r="B18" s="52"/>
      <c r="C18" s="210"/>
      <c r="D18" s="55" t="str">
        <f>IF(ISBLANK(C18),"",VLOOKUP(C18,Bilan!$F$6:$G$25,2,FALSE))</f>
        <v/>
      </c>
      <c r="E18" s="65"/>
      <c r="F18" s="65"/>
      <c r="G18" s="49"/>
      <c r="H18" s="49"/>
      <c r="I18" s="68">
        <f t="shared" si="0"/>
        <v>18</v>
      </c>
      <c r="J18" s="58" t="s">
        <v>262</v>
      </c>
      <c r="K18" s="59">
        <f>SUM(B7:B100)</f>
        <v>618.62</v>
      </c>
      <c r="M18" s="203"/>
      <c r="N18" s="203"/>
    </row>
    <row r="19" spans="1:14" x14ac:dyDescent="0.25">
      <c r="A19" s="210"/>
      <c r="B19" s="52"/>
      <c r="C19" s="210"/>
      <c r="D19" s="55" t="str">
        <f>IF(ISBLANK(C19),"",VLOOKUP(C19,Bilan!$F$6:$G$25,2,FALSE))</f>
        <v/>
      </c>
      <c r="E19" s="65"/>
      <c r="F19" s="65"/>
      <c r="I19" s="68">
        <f t="shared" si="0"/>
        <v>19</v>
      </c>
      <c r="J19" s="58" t="s">
        <v>263</v>
      </c>
      <c r="K19" s="59">
        <f>SUMIFS(B7:B58,D7:D58,K24)</f>
        <v>63.23</v>
      </c>
      <c r="M19" s="203"/>
      <c r="N19" s="203"/>
    </row>
    <row r="20" spans="1:14" x14ac:dyDescent="0.25">
      <c r="A20" s="210"/>
      <c r="B20" s="52"/>
      <c r="C20" s="210"/>
      <c r="D20" s="55" t="str">
        <f>IF(ISBLANK(C20),"",VLOOKUP(C20,Bilan!$F$6:$G$25,2,FALSE))</f>
        <v/>
      </c>
      <c r="E20" s="65"/>
      <c r="F20" s="65"/>
      <c r="I20" s="68">
        <f t="shared" si="0"/>
        <v>20</v>
      </c>
      <c r="J20" s="58" t="s">
        <v>264</v>
      </c>
      <c r="K20" s="59">
        <f>SUMIFS(B7:B58,D7:D58,K25)</f>
        <v>555.39</v>
      </c>
      <c r="M20" s="203"/>
      <c r="N20" s="203"/>
    </row>
    <row r="21" spans="1:14" x14ac:dyDescent="0.25">
      <c r="A21" s="210"/>
      <c r="B21" s="52"/>
      <c r="C21" s="210"/>
      <c r="D21" s="55" t="str">
        <f>IF(ISBLANK(C21),"",VLOOKUP(C21,Bilan!$F$6:$G$25,2,FALSE))</f>
        <v/>
      </c>
      <c r="E21" s="65"/>
      <c r="F21" s="65"/>
      <c r="I21" s="68">
        <f t="shared" si="0"/>
        <v>21</v>
      </c>
      <c r="J21" s="58" t="s">
        <v>265</v>
      </c>
      <c r="K21" s="59">
        <f>SUMIFS(B7:B58,D7:D58,K26)</f>
        <v>0</v>
      </c>
      <c r="M21" s="203"/>
      <c r="N21" s="203"/>
    </row>
    <row r="22" spans="1:14" x14ac:dyDescent="0.25">
      <c r="A22" s="210"/>
      <c r="B22" s="52"/>
      <c r="C22" s="210"/>
      <c r="D22" s="55" t="str">
        <f>IF(ISBLANK(C22),"",VLOOKUP(C22,Bilan!$F$6:$G$25,2,FALSE))</f>
        <v/>
      </c>
      <c r="E22" s="65"/>
      <c r="F22" s="65"/>
      <c r="I22" s="68">
        <f t="shared" si="0"/>
        <v>22</v>
      </c>
      <c r="J22" s="58" t="s">
        <v>266</v>
      </c>
      <c r="K22" s="59">
        <f>SUMIFS(B7:B58,D7:D58,K27)</f>
        <v>0</v>
      </c>
      <c r="M22" s="203"/>
      <c r="N22" s="203"/>
    </row>
    <row r="23" spans="1:14" x14ac:dyDescent="0.25">
      <c r="A23" s="210"/>
      <c r="B23" s="52"/>
      <c r="C23" s="210"/>
      <c r="D23" s="55" t="str">
        <f>IF(ISBLANK(C23),"",VLOOKUP(C23,Bilan!$F$6:$G$25,2,FALSE))</f>
        <v/>
      </c>
      <c r="E23" s="65"/>
      <c r="F23" s="65"/>
      <c r="I23" s="68">
        <f t="shared" si="0"/>
        <v>23</v>
      </c>
      <c r="J23" s="58" t="s">
        <v>267</v>
      </c>
      <c r="K23" s="59">
        <f>SUMIFS(B7:B58,D7:D58,K28)</f>
        <v>0</v>
      </c>
      <c r="M23" s="203"/>
      <c r="N23" s="203"/>
    </row>
    <row r="24" spans="1:14" x14ac:dyDescent="0.25">
      <c r="A24" s="210"/>
      <c r="B24" s="52"/>
      <c r="C24" s="210"/>
      <c r="D24" s="55" t="str">
        <f>IF(ISBLANK(C24),"",VLOOKUP(C24,Bilan!$F$6:$G$25,2,FALSE))</f>
        <v/>
      </c>
      <c r="E24" s="65"/>
      <c r="F24" s="65"/>
      <c r="I24" s="68">
        <f t="shared" si="0"/>
        <v>24</v>
      </c>
      <c r="J24" s="58" t="s">
        <v>268</v>
      </c>
      <c r="K24" s="55">
        <f>IF(ISERROR(VLOOKUP(1,M7:N58,2,FALSE))," ",VLOOKUP(1,M7:N58,2,FALSE))</f>
        <v>54210</v>
      </c>
      <c r="M24" s="203"/>
      <c r="N24" s="203"/>
    </row>
    <row r="25" spans="1:14" x14ac:dyDescent="0.25">
      <c r="A25" s="210"/>
      <c r="B25" s="52"/>
      <c r="C25" s="210"/>
      <c r="D25" s="55" t="str">
        <f>IF(ISBLANK(C25),"",VLOOKUP(C25,Bilan!$F$6:$G$25,2,FALSE))</f>
        <v/>
      </c>
      <c r="E25" s="65"/>
      <c r="F25" s="65"/>
      <c r="I25" s="68">
        <f t="shared" si="0"/>
        <v>25</v>
      </c>
      <c r="J25" s="58" t="s">
        <v>269</v>
      </c>
      <c r="K25" s="55">
        <f>IF(ISERROR(VLOOKUP(2,M7:N58,2,FALSE))," ",VLOOKUP(2,M7:N58,2,FALSE))</f>
        <v>57253</v>
      </c>
      <c r="M25" s="203"/>
      <c r="N25" s="203"/>
    </row>
    <row r="26" spans="1:14" x14ac:dyDescent="0.25">
      <c r="A26" s="210"/>
      <c r="B26" s="52"/>
      <c r="C26" s="210"/>
      <c r="D26" s="55" t="str">
        <f>IF(ISBLANK(C26),"",VLOOKUP(C26,Bilan!$F$6:$G$25,2,FALSE))</f>
        <v/>
      </c>
      <c r="E26" s="65"/>
      <c r="F26" s="65"/>
      <c r="I26" s="68">
        <f t="shared" si="0"/>
        <v>26</v>
      </c>
      <c r="J26" s="58" t="s">
        <v>270</v>
      </c>
      <c r="K26" s="55" t="str">
        <f>IF(ISERROR(VLOOKUP(3,M7:N58,2,FALSE))," ",VLOOKUP(3,M7:N58,2,FALSE))</f>
        <v xml:space="preserve"> </v>
      </c>
      <c r="M26" s="203"/>
      <c r="N26" s="203"/>
    </row>
    <row r="27" spans="1:14" x14ac:dyDescent="0.25">
      <c r="A27" s="210"/>
      <c r="B27" s="52"/>
      <c r="C27" s="210"/>
      <c r="D27" s="55" t="str">
        <f>IF(ISBLANK(C27),"",VLOOKUP(C27,Bilan!$F$6:$G$25,2,FALSE))</f>
        <v/>
      </c>
      <c r="E27" s="65"/>
      <c r="F27" s="65"/>
      <c r="I27" s="68">
        <f t="shared" si="0"/>
        <v>27</v>
      </c>
      <c r="J27" s="58" t="s">
        <v>271</v>
      </c>
      <c r="K27" s="55" t="str">
        <f>IF(ISERROR(VLOOKUP(4,M7:N58,2,FALSE))," ",VLOOKUP(4,M7:N58,2,FALSE))</f>
        <v xml:space="preserve"> </v>
      </c>
      <c r="M27" s="203"/>
      <c r="N27" s="203"/>
    </row>
    <row r="28" spans="1:14" x14ac:dyDescent="0.25">
      <c r="A28" s="210"/>
      <c r="B28" s="52"/>
      <c r="C28" s="210"/>
      <c r="D28" s="55" t="str">
        <f>IF(ISBLANK(C28),"",VLOOKUP(C28,Bilan!$F$6:$G$25,2,FALSE))</f>
        <v/>
      </c>
      <c r="E28" s="65"/>
      <c r="F28" s="65"/>
      <c r="I28" s="68">
        <f t="shared" si="0"/>
        <v>28</v>
      </c>
      <c r="J28" s="58" t="s">
        <v>272</v>
      </c>
      <c r="K28" s="55" t="str">
        <f>IF(ISERROR(VLOOKUP(5,M7:N58,2,FALSE))," ",VLOOKUP(5,M7:N58,2,FALSE))</f>
        <v xml:space="preserve"> </v>
      </c>
      <c r="M28" s="203"/>
      <c r="N28" s="203"/>
    </row>
    <row r="29" spans="1:14" x14ac:dyDescent="0.25">
      <c r="A29" s="210"/>
      <c r="B29" s="52"/>
      <c r="C29" s="210"/>
      <c r="D29" s="55" t="str">
        <f>IF(ISBLANK(C29),"",VLOOKUP(C29,Bilan!$F$6:$G$25,2,FALSE))</f>
        <v/>
      </c>
      <c r="E29" s="65"/>
      <c r="F29" s="65"/>
      <c r="I29" s="68">
        <f t="shared" si="0"/>
        <v>29</v>
      </c>
      <c r="J29" s="58" t="s">
        <v>19</v>
      </c>
      <c r="K29" s="55">
        <v>300050</v>
      </c>
      <c r="M29" s="203"/>
      <c r="N29" s="203"/>
    </row>
    <row r="30" spans="1:14" x14ac:dyDescent="0.25">
      <c r="A30" s="210"/>
      <c r="B30" s="52"/>
      <c r="C30" s="210"/>
      <c r="D30" s="55" t="str">
        <f>IF(ISBLANK(C30),"",VLOOKUP(C30,Bilan!$F$6:$G$25,2,FALSE))</f>
        <v/>
      </c>
      <c r="E30" s="65"/>
      <c r="F30" s="65"/>
      <c r="I30" s="68">
        <f t="shared" si="0"/>
        <v>30</v>
      </c>
      <c r="J30" s="58" t="s">
        <v>275</v>
      </c>
      <c r="K30" s="55" t="s">
        <v>483</v>
      </c>
      <c r="M30" s="203"/>
      <c r="N30" s="203"/>
    </row>
    <row r="31" spans="1:14" x14ac:dyDescent="0.25">
      <c r="A31" s="210"/>
      <c r="B31" s="48"/>
      <c r="C31" s="210"/>
      <c r="D31" s="58" t="str">
        <f>IF(ISBLANK(C31),"",VLOOKUP(C31,Bilan!$F$6:$G$25,2,FALSE))</f>
        <v/>
      </c>
      <c r="E31" s="65"/>
      <c r="F31" s="65"/>
      <c r="I31" s="68">
        <f t="shared" si="0"/>
        <v>31</v>
      </c>
      <c r="J31" s="58" t="s">
        <v>276</v>
      </c>
      <c r="K31" s="55">
        <f>IF(ISBLANK(A15),0,1)</f>
        <v>0</v>
      </c>
      <c r="M31" s="203"/>
      <c r="N31" s="203"/>
    </row>
    <row r="32" spans="1:14" x14ac:dyDescent="0.25">
      <c r="A32" s="210"/>
      <c r="B32" s="48"/>
      <c r="C32" s="210"/>
      <c r="D32" s="58" t="str">
        <f>IF(ISBLANK(C32),"",VLOOKUP(C32,Bilan!$F$6:$G$25,2,FALSE))</f>
        <v/>
      </c>
      <c r="E32" s="65"/>
      <c r="F32" s="65"/>
      <c r="M32" s="203"/>
      <c r="N32" s="203"/>
    </row>
    <row r="33" spans="1:14" x14ac:dyDescent="0.25">
      <c r="A33" s="210"/>
      <c r="B33" s="48"/>
      <c r="C33" s="210"/>
      <c r="D33" s="58" t="str">
        <f>IF(ISBLANK(C33),"",VLOOKUP(C33,Bilan!$F$6:$G$25,2,FALSE))</f>
        <v/>
      </c>
      <c r="E33" s="65"/>
      <c r="F33" s="65"/>
      <c r="M33" s="203"/>
      <c r="N33" s="203"/>
    </row>
    <row r="34" spans="1:14" x14ac:dyDescent="0.25">
      <c r="A34" s="210"/>
      <c r="B34" s="48"/>
      <c r="C34" s="210"/>
      <c r="D34" s="58" t="str">
        <f>IF(ISBLANK(C34),"",VLOOKUP(C34,Bilan!$F$6:$G$25,2,FALSE))</f>
        <v/>
      </c>
      <c r="E34" s="65"/>
      <c r="F34" s="65"/>
      <c r="M34" s="203"/>
      <c r="N34" s="203"/>
    </row>
    <row r="35" spans="1:14" x14ac:dyDescent="0.25">
      <c r="A35" s="210"/>
      <c r="B35" s="48"/>
      <c r="C35" s="210"/>
      <c r="D35" s="58" t="str">
        <f>IF(ISBLANK(C35),"",VLOOKUP(C35,Bilan!$F$6:$G$25,2,FALSE))</f>
        <v/>
      </c>
      <c r="E35" s="65"/>
      <c r="F35" s="65"/>
      <c r="M35" s="203"/>
      <c r="N35" s="203"/>
    </row>
    <row r="36" spans="1:14" x14ac:dyDescent="0.25">
      <c r="A36" s="210"/>
      <c r="B36" s="48"/>
      <c r="C36" s="210"/>
      <c r="D36" s="58" t="str">
        <f>IF(ISBLANK(C36),"",VLOOKUP(C36,Bilan!$F$6:$G$25,2,FALSE))</f>
        <v/>
      </c>
      <c r="E36" s="65"/>
      <c r="F36" s="65"/>
      <c r="M36" s="203"/>
      <c r="N36" s="203"/>
    </row>
    <row r="37" spans="1:14" x14ac:dyDescent="0.25">
      <c r="A37" s="210"/>
      <c r="B37" s="48"/>
      <c r="C37" s="210"/>
      <c r="D37" s="58" t="str">
        <f>IF(ISBLANK(C37),"",VLOOKUP(C37,Bilan!$F$6:$G$25,2,FALSE))</f>
        <v/>
      </c>
      <c r="E37" s="65"/>
      <c r="F37" s="65"/>
      <c r="M37" s="203"/>
      <c r="N37" s="203"/>
    </row>
    <row r="38" spans="1:14" x14ac:dyDescent="0.25">
      <c r="A38" s="210"/>
      <c r="B38" s="48"/>
      <c r="C38" s="210"/>
      <c r="D38" s="58" t="str">
        <f>IF(ISBLANK(C38),"",VLOOKUP(C38,Bilan!$F$6:$G$25,2,FALSE))</f>
        <v/>
      </c>
      <c r="E38" s="65"/>
      <c r="F38" s="65"/>
      <c r="M38" s="203"/>
      <c r="N38" s="203"/>
    </row>
    <row r="39" spans="1:14" x14ac:dyDescent="0.25">
      <c r="A39" s="210"/>
      <c r="B39" s="48"/>
      <c r="C39" s="210"/>
      <c r="D39" s="58" t="str">
        <f>IF(ISBLANK(C39),"",VLOOKUP(C39,Bilan!$F$6:$G$25,2,FALSE))</f>
        <v/>
      </c>
      <c r="E39" s="65"/>
      <c r="F39" s="65"/>
      <c r="M39" s="203"/>
      <c r="N39" s="203"/>
    </row>
    <row r="40" spans="1:14" x14ac:dyDescent="0.25">
      <c r="A40" s="210"/>
      <c r="B40" s="48"/>
      <c r="C40" s="210"/>
      <c r="D40" s="58" t="str">
        <f>IF(ISBLANK(C40),"",VLOOKUP(C40,Bilan!$F$6:$G$25,2,FALSE))</f>
        <v/>
      </c>
      <c r="E40" s="65"/>
      <c r="F40" s="65"/>
      <c r="M40" s="203"/>
      <c r="N40" s="203"/>
    </row>
    <row r="41" spans="1:14" x14ac:dyDescent="0.25">
      <c r="A41" s="210"/>
      <c r="B41" s="48"/>
      <c r="C41" s="210"/>
      <c r="D41" s="58" t="str">
        <f>IF(ISBLANK(C41),"",VLOOKUP(C41,Bilan!$F$6:$G$25,2,FALSE))</f>
        <v/>
      </c>
      <c r="E41" s="65"/>
      <c r="F41" s="65"/>
      <c r="M41" s="203"/>
      <c r="N41" s="203"/>
    </row>
    <row r="42" spans="1:14" x14ac:dyDescent="0.25">
      <c r="A42" s="210"/>
      <c r="B42" s="48"/>
      <c r="C42" s="210"/>
      <c r="D42" s="58" t="str">
        <f>IF(ISBLANK(C42),"",VLOOKUP(C42,Bilan!$F$6:$G$25,2,FALSE))</f>
        <v/>
      </c>
      <c r="E42" s="65"/>
      <c r="F42" s="65"/>
      <c r="M42" s="203"/>
      <c r="N42" s="203"/>
    </row>
    <row r="43" spans="1:14" x14ac:dyDescent="0.25">
      <c r="A43" s="210"/>
      <c r="B43" s="48"/>
      <c r="C43" s="210"/>
      <c r="D43" s="58" t="str">
        <f>IF(ISBLANK(C43),"",VLOOKUP(C43,Bilan!$F$6:$G$25,2,FALSE))</f>
        <v/>
      </c>
      <c r="E43" s="65"/>
      <c r="F43" s="65"/>
      <c r="M43" s="203"/>
      <c r="N43" s="203"/>
    </row>
    <row r="44" spans="1:14" x14ac:dyDescent="0.25">
      <c r="A44" s="210"/>
      <c r="B44" s="48"/>
      <c r="C44" s="210"/>
      <c r="D44" s="58" t="str">
        <f>IF(ISBLANK(C44),"",VLOOKUP(C44,Bilan!$F$6:$G$25,2,FALSE))</f>
        <v/>
      </c>
      <c r="E44" s="65"/>
      <c r="F44" s="65"/>
      <c r="M44" s="203"/>
      <c r="N44" s="203"/>
    </row>
    <row r="45" spans="1:14" x14ac:dyDescent="0.25">
      <c r="A45" s="210"/>
      <c r="B45" s="48"/>
      <c r="C45" s="210"/>
      <c r="D45" s="58" t="str">
        <f>IF(ISBLANK(C45),"",VLOOKUP(C45,Bilan!$F$6:$G$25,2,FALSE))</f>
        <v/>
      </c>
      <c r="E45" s="65"/>
      <c r="F45" s="65"/>
      <c r="M45" s="203"/>
      <c r="N45" s="203"/>
    </row>
    <row r="46" spans="1:14" x14ac:dyDescent="0.25">
      <c r="A46" s="210"/>
      <c r="B46" s="48"/>
      <c r="C46" s="210"/>
      <c r="D46" s="58" t="str">
        <f>IF(ISBLANK(C46),"",VLOOKUP(C46,Bilan!$F$6:$G$25,2,FALSE))</f>
        <v/>
      </c>
      <c r="E46" s="65"/>
      <c r="F46" s="65"/>
      <c r="M46" s="203"/>
      <c r="N46" s="203"/>
    </row>
    <row r="47" spans="1:14" x14ac:dyDescent="0.25">
      <c r="A47" s="210"/>
      <c r="B47" s="48"/>
      <c r="C47" s="210"/>
      <c r="D47" s="58" t="str">
        <f>IF(ISBLANK(C47),"",VLOOKUP(C47,Bilan!$F$6:$G$25,2,FALSE))</f>
        <v/>
      </c>
      <c r="E47" s="65"/>
      <c r="F47" s="65"/>
      <c r="M47" s="203"/>
      <c r="N47" s="203"/>
    </row>
    <row r="48" spans="1:14" x14ac:dyDescent="0.25">
      <c r="A48" s="210"/>
      <c r="B48" s="48"/>
      <c r="C48" s="210"/>
      <c r="D48" s="58" t="str">
        <f>IF(ISBLANK(C48),"",VLOOKUP(C48,Bilan!$F$6:$G$25,2,FALSE))</f>
        <v/>
      </c>
      <c r="E48" s="65"/>
      <c r="F48" s="65"/>
      <c r="M48" s="203"/>
      <c r="N48" s="203"/>
    </row>
    <row r="49" spans="1:14" x14ac:dyDescent="0.25">
      <c r="A49" s="210"/>
      <c r="B49" s="48"/>
      <c r="C49" s="210"/>
      <c r="D49" s="58" t="str">
        <f>IF(ISBLANK(C49),"",VLOOKUP(C49,Bilan!$F$6:$G$25,2,FALSE))</f>
        <v/>
      </c>
      <c r="E49" s="65"/>
      <c r="F49" s="65"/>
      <c r="M49" s="203"/>
      <c r="N49" s="203"/>
    </row>
    <row r="50" spans="1:14" x14ac:dyDescent="0.25">
      <c r="A50" s="210"/>
      <c r="B50" s="48"/>
      <c r="C50" s="210"/>
      <c r="D50" s="58" t="str">
        <f>IF(ISBLANK(C50),"",VLOOKUP(C50,Bilan!$F$6:$G$25,2,FALSE))</f>
        <v/>
      </c>
      <c r="E50" s="65"/>
      <c r="F50" s="65"/>
      <c r="M50" s="203"/>
      <c r="N50" s="203"/>
    </row>
    <row r="51" spans="1:14" x14ac:dyDescent="0.25">
      <c r="A51" s="210"/>
      <c r="B51" s="48"/>
      <c r="C51" s="210"/>
      <c r="D51" s="58" t="str">
        <f>IF(ISBLANK(C51),"",VLOOKUP(C51,Bilan!$F$6:$G$25,2,FALSE))</f>
        <v/>
      </c>
      <c r="E51" s="65"/>
      <c r="F51" s="65"/>
      <c r="M51" s="203"/>
      <c r="N51" s="203"/>
    </row>
    <row r="52" spans="1:14" x14ac:dyDescent="0.25">
      <c r="A52" s="210"/>
      <c r="B52" s="48"/>
      <c r="C52" s="210"/>
      <c r="D52" s="58" t="str">
        <f>IF(ISBLANK(C52),"",VLOOKUP(C52,Bilan!$F$6:$G$25,2,FALSE))</f>
        <v/>
      </c>
      <c r="E52" s="65"/>
      <c r="F52" s="65"/>
      <c r="M52" s="203"/>
      <c r="N52" s="203"/>
    </row>
    <row r="53" spans="1:14" x14ac:dyDescent="0.25">
      <c r="A53" s="210"/>
      <c r="B53" s="48"/>
      <c r="C53" s="210"/>
      <c r="D53" s="58" t="str">
        <f>IF(ISBLANK(C53),"",VLOOKUP(C53,Bilan!$F$6:$G$25,2,FALSE))</f>
        <v/>
      </c>
      <c r="E53" s="65"/>
      <c r="F53" s="65"/>
      <c r="M53" s="203"/>
      <c r="N53" s="203"/>
    </row>
    <row r="54" spans="1:14" x14ac:dyDescent="0.25">
      <c r="A54" s="210"/>
      <c r="B54" s="48"/>
      <c r="C54" s="210"/>
      <c r="D54" s="58" t="str">
        <f>IF(ISBLANK(C54),"",VLOOKUP(C54,Bilan!$F$6:$G$25,2,FALSE))</f>
        <v/>
      </c>
      <c r="E54" s="65"/>
      <c r="F54" s="65"/>
      <c r="M54" s="203"/>
      <c r="N54" s="203"/>
    </row>
    <row r="55" spans="1:14" x14ac:dyDescent="0.25">
      <c r="A55" s="210"/>
      <c r="B55" s="48"/>
      <c r="C55" s="210"/>
      <c r="D55" s="58" t="str">
        <f>IF(ISBLANK(C55),"",VLOOKUP(C55,Bilan!$F$6:$G$25,2,FALSE))</f>
        <v/>
      </c>
      <c r="E55" s="65"/>
      <c r="F55" s="65"/>
      <c r="M55" s="203"/>
      <c r="N55" s="203"/>
    </row>
    <row r="56" spans="1:14" x14ac:dyDescent="0.25">
      <c r="A56" s="210"/>
      <c r="B56" s="48"/>
      <c r="C56" s="210"/>
      <c r="D56" s="58" t="str">
        <f>IF(ISBLANK(C56),"",VLOOKUP(C56,Bilan!$F$6:$G$25,2,FALSE))</f>
        <v/>
      </c>
      <c r="E56" s="65"/>
      <c r="F56" s="65"/>
      <c r="M56" s="203"/>
      <c r="N56" s="203"/>
    </row>
    <row r="57" spans="1:14" x14ac:dyDescent="0.25">
      <c r="M57" s="203"/>
      <c r="N57" s="203"/>
    </row>
    <row r="58" spans="1:14" x14ac:dyDescent="0.25">
      <c r="M58" s="203"/>
      <c r="N58" s="203"/>
    </row>
  </sheetData>
  <sortState ref="N7:N11">
    <sortCondition ref="N7"/>
  </sortState>
  <conditionalFormatting sqref="B2:B4">
    <cfRule type="expression" dxfId="2" priority="3">
      <formula>LEN(TRIM(B2:B4))=0</formula>
    </cfRule>
  </conditionalFormatting>
  <conditionalFormatting sqref="A7:C7">
    <cfRule type="expression" dxfId="1" priority="2">
      <formula>LEN(TRIM(A7:C7))=0</formula>
    </cfRule>
  </conditionalFormatting>
  <conditionalFormatting sqref="E7:F7">
    <cfRule type="expression" dxfId="0" priority="1">
      <formula>LEN(TRIM(E7:F7))=0</formula>
    </cfRule>
  </conditionalFormatting>
  <dataValidations count="2">
    <dataValidation type="list" allowBlank="1" showInputMessage="1" showErrorMessage="1" sqref="F7:F56">
      <formula1>INDIRECT(E7)</formula1>
    </dataValidation>
    <dataValidation type="list" allowBlank="1" showInputMessage="1" showErrorMessage="1" sqref="E7:E56">
      <formula1>groupe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Membres!$A$6:$A$41</xm:f>
          </x14:formula1>
          <xm:sqref>B2</xm:sqref>
        </x14:dataValidation>
        <x14:dataValidation type="list" allowBlank="1" showInputMessage="1" showErrorMessage="1">
          <x14:formula1>
            <xm:f>Bilan!$F$6:$F$19</xm:f>
          </x14:formula1>
          <xm:sqref>C7:C14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16</vt:i4>
      </vt:variant>
    </vt:vector>
  </HeadingPairs>
  <TitlesOfParts>
    <vt:vector size="30" baseType="lpstr">
      <vt:lpstr>Bilan</vt:lpstr>
      <vt:lpstr>revenus</vt:lpstr>
      <vt:lpstr>dépenses</vt:lpstr>
      <vt:lpstr>Membres</vt:lpstr>
      <vt:lpstr>Modele</vt:lpstr>
      <vt:lpstr>Drono1649</vt:lpstr>
      <vt:lpstr>Drono1650</vt:lpstr>
      <vt:lpstr>Drono1651</vt:lpstr>
      <vt:lpstr>Drono1652</vt:lpstr>
      <vt:lpstr>Drono1653</vt:lpstr>
      <vt:lpstr>Drono1655</vt:lpstr>
      <vt:lpstr>Drono1656</vt:lpstr>
      <vt:lpstr>Drono1657</vt:lpstr>
      <vt:lpstr>Drono1658</vt:lpstr>
      <vt:lpstr>Administration</vt:lpstr>
      <vt:lpstr>Air_frame</vt:lpstr>
      <vt:lpstr>Auto_pilote_et_ground_station</vt:lpstr>
      <vt:lpstr>Autres</vt:lpstr>
      <vt:lpstr>Compétition_1_CANADA</vt:lpstr>
      <vt:lpstr>Compétition_1_UAV_CANADA_ALMA_10_pers</vt:lpstr>
      <vt:lpstr>Compétition_2_SUAS_LEXINGTON_PARK_USA_10_pers</vt:lpstr>
      <vt:lpstr>Compétition_2_USA</vt:lpstr>
      <vt:lpstr>Compétition_drone_de_course</vt:lpstr>
      <vt:lpstr>Frais_de_promotion</vt:lpstr>
      <vt:lpstr>groupe</vt:lpstr>
      <vt:lpstr>Réseau_et_télécommunication</vt:lpstr>
      <vt:lpstr>Tests_de_vol</vt:lpstr>
      <vt:lpstr>Tests_et_fds</vt:lpstr>
      <vt:lpstr>dépenses!Zone_d_impression</vt:lpstr>
      <vt:lpstr>revenus!Zone_d_impression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Rémy Carpentier</dc:creator>
  <cp:lastModifiedBy>Rémy Carpentier</cp:lastModifiedBy>
  <cp:lastPrinted>2016-09-25T17:15:34Z</cp:lastPrinted>
  <dcterms:created xsi:type="dcterms:W3CDTF">2016-09-24T22:57:04Z</dcterms:created>
  <dcterms:modified xsi:type="dcterms:W3CDTF">2016-10-11T18:57:00Z</dcterms:modified>
</cp:coreProperties>
</file>